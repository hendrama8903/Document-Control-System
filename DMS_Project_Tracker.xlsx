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Dokumen Hendra\Project\DMS_Ezzio\"/>
    </mc:Choice>
  </mc:AlternateContent>
  <xr:revisionPtr revIDLastSave="0" documentId="13_ncr:1_{93FFEB22-7DEB-40CD-9FB0-78DC31618840}" xr6:coauthVersionLast="47" xr6:coauthVersionMax="47" xr10:uidLastSave="{00000000-0000-0000-0000-000000000000}"/>
  <bookViews>
    <workbookView xWindow="-108" yWindow="-108" windowWidth="23256" windowHeight="12456" activeTab="5" xr2:uid="{00000000-000D-0000-FFFF-FFFF00000000}"/>
  </bookViews>
  <sheets>
    <sheet name="Dashboard" sheetId="1" r:id="rId1"/>
    <sheet name="Kadai Email" sheetId="2" r:id="rId2"/>
    <sheet name="Kadai Dev" sheetId="3" r:id="rId3"/>
    <sheet name="Change Log" sheetId="4" r:id="rId4"/>
    <sheet name="Jadwal Pengerjaan" sheetId="5" r:id="rId5"/>
    <sheet name="Sheet1" sheetId="6" r:id="rId6"/>
  </sheets>
  <definedNames>
    <definedName name="_xlnm._FilterDatabase" localSheetId="1" hidden="1">'Kadai Email'!$A$1:$F$14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1" i="1" l="1"/>
  <c r="D41" i="1"/>
  <c r="C41" i="1"/>
  <c r="B41" i="1"/>
  <c r="G21" i="1"/>
  <c r="F21" i="1"/>
  <c r="E21" i="1"/>
  <c r="D21" i="1"/>
  <c r="C21" i="1"/>
  <c r="B21" i="1"/>
  <c r="G5" i="1"/>
  <c r="F5" i="1"/>
  <c r="E5" i="1"/>
  <c r="D5" i="1"/>
  <c r="C5" i="1"/>
  <c r="B5" i="1"/>
</calcChain>
</file>

<file path=xl/sharedStrings.xml><?xml version="1.0" encoding="utf-8"?>
<sst xmlns="http://schemas.openxmlformats.org/spreadsheetml/2006/main" count="524" uniqueCount="245">
  <si>
    <t>📋  DMS PROJECT TRACKER — Kadai &amp; Issue Log</t>
  </si>
  <si>
    <t>PT. Hino Motors Manufacturing Indonesia  |  Document Management System</t>
  </si>
  <si>
    <t>Kadai Email</t>
  </si>
  <si>
    <t>Selesai</t>
  </si>
  <si>
    <t>New Request</t>
  </si>
  <si>
    <t>Next Improve</t>
  </si>
  <si>
    <t>Kadai Dev</t>
  </si>
  <si>
    <t>Issue Selesai</t>
  </si>
  <si>
    <t>LEGENDA STATUS (sesuai kode warna email kadai)</t>
  </si>
  <si>
    <t>Status</t>
  </si>
  <si>
    <t>Keterangan</t>
  </si>
  <si>
    <t>Hijau di email — sudah terselesaikan</t>
  </si>
  <si>
    <t>Kuning di email — permintaan baru, belum ada</t>
  </si>
  <si>
    <t>Merah di email — next improvement</t>
  </si>
  <si>
    <t>Dalam Proses</t>
  </si>
  <si>
    <t>Sedang dikerjakan oleh tim dev</t>
  </si>
  <si>
    <t>Belum Mulai</t>
  </si>
  <si>
    <t>Belum ada action</t>
  </si>
  <si>
    <t>Ditangguhkan</t>
  </si>
  <si>
    <t>Ditunda / pending</t>
  </si>
  <si>
    <t>Last Updated: 2026-05-22  |  Status berdasarkan email balasan tim vendor (Okt 2024)</t>
  </si>
  <si>
    <t>📧  SECTION A — KADAI EMAIL (Original dari Email Tim Vendor)</t>
  </si>
  <si>
    <t>Total Kadai</t>
  </si>
  <si>
    <t>ESTIMASI PENGERJAAN KADAI EMAIL — Part Time ~3-4 jam/hari, 1 Developer</t>
  </si>
  <si>
    <t>Fokus pengerjaan saat ini. Kadai No 4, 10, 12 (butuh spec dari QMS) tidak dihitung ke total karena menunggu konfirmasi.</t>
  </si>
  <si>
    <t>No</t>
  </si>
  <si>
    <t>Judul Kadai</t>
  </si>
  <si>
    <t>Est. Jam</t>
  </si>
  <si>
    <t>Est. Hari*</t>
  </si>
  <si>
    <t>Form Level 4 (FR,CS dll) tanpa Approval</t>
  </si>
  <si>
    <t>5 jam</t>
  </si>
  <si>
    <t>~2 hari</t>
  </si>
  <si>
    <t>Modif alur approval per level dokumen</t>
  </si>
  <si>
    <t>Fungsi melihat Dokumen Obsolete</t>
  </si>
  <si>
    <t>4 jam</t>
  </si>
  <si>
    <t>Flag nonaktif + filter tampilan di UI</t>
  </si>
  <si>
    <t>Penomoran Dept &amp; Div (Perubahan Struktur)</t>
  </si>
  <si>
    <t>2 jam</t>
  </si>
  <si>
    <t>~1 hari</t>
  </si>
  <si>
    <t>Update data di Master Maintenance</t>
  </si>
  <si>
    <t>Distribusi — tambah Dept yang tertinggal</t>
  </si>
  <si>
    <t>Panduan penggunaan P4D Maintenance</t>
  </si>
  <si>
    <t>Control Print untuk Sekretariat QMS</t>
  </si>
  <si>
    <t>10 jam</t>
  </si>
  <si>
    <t>~3 hari</t>
  </si>
  <si>
    <t>QZ Tray + integrasi network printer</t>
  </si>
  <si>
    <t>Notifikasi Request Print Document</t>
  </si>
  <si>
    <t>Email + SignalR — pattern sudah ada</t>
  </si>
  <si>
    <t>Tambah Format Sipocor, Prosedur, dll</t>
  </si>
  <si>
    <t>—</t>
  </si>
  <si>
    <t>⏳ Tunggu format dari QMS</t>
  </si>
  <si>
    <t>Report Request CC &amp; Uncontrolled Copy</t>
  </si>
  <si>
    <t>⏳ Tunggu spec tampilan dari QMS</t>
  </si>
  <si>
    <t>Format Fix Stampel</t>
  </si>
  <si>
    <t>⏳ Tunggu spec dari QMS</t>
  </si>
  <si>
    <t>TOTAL</t>
  </si>
  <si>
    <t>(tidak termasuk kadai tunggu spec QMS)</t>
  </si>
  <si>
    <t>27 jam</t>
  </si>
  <si>
    <t>~9 hari</t>
  </si>
  <si>
    <t>≈ 1-2 minggu efektif</t>
  </si>
  <si>
    <t>*1 hari = ~3 jam efektif DMS. Total 27 jam ÷ 3 = 9 hari kerja. Kadai ⏳ menunggu konfirmasi QMS tidak masuk hitungan.</t>
  </si>
  <si>
    <t>💻  SECTION B — KADAI DEV (Ditemukan saat Development)</t>
  </si>
  <si>
    <t>Total Issue</t>
  </si>
  <si>
    <t>ℹ️  Estimasi waktu Kadai Dev belum ditentukan karena sifatnya reaktif (muncul saat development/testing). Bug baru bisa ditemukan kapan saja. Fokus pengerjaan saat ini adalah Kadai Email di Section A.
Issue yang sudah Selesai: No 1 (Header Excel), No 2 (Print_Titles), No 3 (SafeGetRow), No 6 (Sequence Error), No 7 (Duplicate Method).</t>
  </si>
  <si>
    <t>Kondisi Saat Ini</t>
  </si>
  <si>
    <t>Respon / Solusi</t>
  </si>
  <si>
    <t>PIC</t>
  </si>
  <si>
    <t>Tgl Masuk</t>
  </si>
  <si>
    <t>Tgl Update</t>
  </si>
  <si>
    <t>Catatan Tambahan</t>
  </si>
  <si>
    <t>Penamaan Dept/Div QPM/QAD masih IAD</t>
  </si>
  <si>
    <t>Penamaan Dept/Div QPM/QAD masih menggunakan kode lama (IAD)</t>
  </si>
  <si>
    <t>Sudah diganti dengan QPM</t>
  </si>
  <si>
    <t>Tim Dev</t>
  </si>
  <si>
    <t>2024-10-23</t>
  </si>
  <si>
    <t>2026-05-22</t>
  </si>
  <si>
    <t>✅ Hijau di email — sudah selesai</t>
  </si>
  <si>
    <t>Kolom Approve (Dept Head) masih Pak Yusmane</t>
  </si>
  <si>
    <t>Kolom approve (Dept Head) masih menampilkan nama Pak Yusmane</t>
  </si>
  <si>
    <t>Sudah diganti dengan Pak Danu (Dept Head)</t>
  </si>
  <si>
    <t>Form Level 4 (FR,CS dll) tidak perlu Approval — upload sendiri</t>
  </si>
  <si>
    <t>Saat ini setiap dokumen yang diregister harus melalui proses approval. Form Level 4 (FR,CS dll) hanya perlu ditanda tangan saat register ke QMS, tidak perlu Approval (mereka buat dan upload sendiri)</t>
  </si>
  <si>
    <t>Perlu diubah alur agar dokumen level 4 tidak menggunakan approval. Caranya belum ada.</t>
  </si>
  <si>
    <t>🟡 Kuning di email — new request, perlu analisis alur approval per level</t>
  </si>
  <si>
    <t>Format Sipocor, Prosedur &amp; format lainnya belum ada di sistem</t>
  </si>
  <si>
    <t>Format Sipocor, Prosedur, dan format lainnya belum ada di sistem DMS (yang ada baru SOP &amp; Acuan)</t>
  </si>
  <si>
    <t>Minta tolong dishare format-format yang belum ada. Tim akan tambahkan ke sistem.</t>
  </si>
  <si>
    <t>QMS &amp; Tim Dev</t>
  </si>
  <si>
    <t>🟡 Kuning di email — tunggu format dari Bu Siti / QMS</t>
  </si>
  <si>
    <t>Cara untuk melihat Dokumen yang sudah Obsolete belum ada</t>
  </si>
  <si>
    <t>Saat ini belum ada fungsi untuk dokumen obsolete di sistem</t>
  </si>
  <si>
    <t>Perlu ditambahkan fungsi untuk nonaktif/obsolete dokumen dan cara melihatnya</t>
  </si>
  <si>
    <t>🟡 Kuning di email — new request, perlu fitur nonaktif dokumen</t>
  </si>
  <si>
    <t>Penomoran untuk Dept dan Div masih ada yang harus difinish (Perubahan Struktur)</t>
  </si>
  <si>
    <t>Penomoran untuk Dept dan Div masih ada yang harus diselesaikan terkait perubahan struktur organisasi</t>
  </si>
  <si>
    <t>Dapat diupdate di Master Maintenance =&gt; Department &amp; Section Master sesuai perubahan kode terbaru</t>
  </si>
  <si>
    <t>QMS</t>
  </si>
  <si>
    <t>🔴 Merah di email — next improvement</t>
  </si>
  <si>
    <t>Distribusi ke Dept — tidak bisa menambah Dept yang tertinggal setelah Send</t>
  </si>
  <si>
    <t>Ketika akan Send untuk Distribusi ke masing-masing Dept, dan pada saat di sistem sudah di-klik Send, Sekretariat tahu ada beberapa Dept yang tertinggal belum di-klik. Cara mengulang kembali atau menambah Dept seperti ada.</t>
  </si>
  <si>
    <t>Bisa menggunakan fitur distribution juga di menu P4D Maintenance untuk menambahkan ulang dept-nya</t>
  </si>
  <si>
    <t>🔴 Merah di email — next improvement, solusi sudah ada via P4D Maintenance</t>
  </si>
  <si>
    <t>Control Print Dokumen untuk Sekretariat QMS belum ada</t>
  </si>
  <si>
    <t>Ketika document yang sudah send ke Dept yang di distribusi, ketika selesai di view maka akan muncul Controlled Copy dan user bisa melakukan Print. Belum ada bentuk Control untuk Sekretariat QMS. Sistem belum dapat mengakomodir counting paper yang diprint karena terkait integrasi dengan desktop.</t>
  </si>
  <si>
    <t>Perlu mekanisme control print — opsi: QZ Tray untuk silent print ke network printer sehingga jumlah copy terkontrol penuh oleh sistem</t>
  </si>
  <si>
    <t>🔴 Merah di email — next improvement, terkait integrasi desktop</t>
  </si>
  <si>
    <t>Belum ada Notifikasi saat ada Request Permintaan Print Document dari User</t>
  </si>
  <si>
    <t>Belum ada Notifikasi ketika ada Request Permintaan Print Document dari User</t>
  </si>
  <si>
    <t>Belum ada request terkait hal ini sehingga perlu ditambahkan fungsinya. Perlu diskusi lebih lanjut terkait flow dan tampilan notifikasi.</t>
  </si>
  <si>
    <t>🟡 Kuning di email — new request, flow belum ditentukan</t>
  </si>
  <si>
    <t>Request Document Controlled Copy &amp; Uncontrolled Copy belum ada Reportnya</t>
  </si>
  <si>
    <t>Belum ada request terkait hal ini sehingga perlu ditambahkan. Perlu konfirmasi tampilan reportnya seperti apa permintaan user.</t>
  </si>
  <si>
    <t>Tim Dev &amp; QMS</t>
  </si>
  <si>
    <t>🟡 Kuning di email — new request, perlu konfirmasi format report</t>
  </si>
  <si>
    <t>Summary List Document yang sudah didistribusikan ke Dept (Daftar Isi)</t>
  </si>
  <si>
    <t>Ketika ingin melihat secara Summary, bisa/kah terlihat secara total List Document yang sudah didistribusikan ke Dept Tersebut (Daftar Isi)</t>
  </si>
  <si>
    <t>Sudah ada di fitur QMS Dashboard dengan mengisi filter dept/divisinya</t>
  </si>
  <si>
    <t>✅ Hijau di email — sudah selesai, ada di QMS Dashboard</t>
  </si>
  <si>
    <t>Format Fix Stampel belum ada</t>
  </si>
  <si>
    <t>Format Fix Stampel belum ada di sistem</t>
  </si>
  <si>
    <t>Perlu penjelasan lebih lanjut terkait format fix stampel dari QMS</t>
  </si>
  <si>
    <t>🟡 Kuning di email — new request, tunggu penjelasan dari QMS</t>
  </si>
  <si>
    <t>Database Tanda Tangan Masing-masing Dept belum ada</t>
  </si>
  <si>
    <t>Database Tanda tangan Masing-Masing Dept belum ada</t>
  </si>
  <si>
    <t>Sudah ada di menu User Management untuk menambahkan tanda tangan masing-masing user, hanya tinggal update data saja</t>
  </si>
  <si>
    <t>✅ Hijau di email — sudah selesai, tinggal input data</t>
  </si>
  <si>
    <t>Judul Issue / Kadai</t>
  </si>
  <si>
    <t>Sub-Module / File</t>
  </si>
  <si>
    <t>Deskripsi Masalah</t>
  </si>
  <si>
    <t>Solusi / Tindakan</t>
  </si>
  <si>
    <t>Nilai Field Tercetak di Luar Kolom Header Excel (TYPE=3)</t>
  </si>
  <si>
    <t>pengesahanModifiedfileName()</t>
  </si>
  <si>
    <t>Nilai seperti 'Tgl revisi' dan 'DOCUMENT_REVISION_0_DATE' muncul di luar batas kolom header pada PDF. Kode TYPE=3 menulis ke ROW/COL yang hanya valid di COVER sheet namun dieksekusi untuk semua sheet.</t>
  </si>
  <si>
    <t>Tambah guard coverOnlyFields. Field header (DOCUMENT_CODE, DOCUMENT_TRANSACTION_NAME, DOCUMENT_REVISION_0_DATE, REVISION, DOCUMENT_DATE) hanya ditulis di sheetPosition==0. Sheet lain dibiarkan menggunakan formula =COVER!ACx.</t>
  </si>
  <si>
    <t>2026-05-10</t>
  </si>
  <si>
    <t>Print_Titles Menyebabkan Error Konversi PDF</t>
  </si>
  <si>
    <t>CleanPrintTitlesInMemory()</t>
  </si>
  <si>
    <t>NPOI menambahkan kembali definisi Print_Titles ke workbook.xml saat proses Write(), meskipun file aslinya sudah bersih. LibreOffice menangani Print_Titles dengan cara berbeda sehingga menyebabkan konflik.</t>
  </si>
  <si>
    <t>Double-clean: bersihkan Print_Titles dari file input sebelum dibaca NPOI, dan bersihkan lagi dari output NPOI sebelum disimpan ke disk menggunakan Regex pada xl/workbook.xml di dalam ZIP.</t>
  </si>
  <si>
    <t>SafeGetRow/SafeGetCell — NullReferenceException</t>
  </si>
  <si>
    <t>NPOI mengembalikan null untuk row/cell yang sepenuhnya kosong di Excel. Kode lama menggunakan GetRow/GetCell langsung tanpa null check.</t>
  </si>
  <si>
    <t>Buat helper method SafeGetRow() dan SafeGetCell() yang otomatis create jika null. Ganti semua GetRow/GetCell di method pengesahan dengan helper ini.</t>
  </si>
  <si>
    <t>Waktu Konversi Excel ke PDF Sangat Lama (1-3 menit)</t>
  </si>
  <si>
    <t>ConvertToPdf(), ViewAttachment()</t>
  </si>
  <si>
    <t>LibreOffice dijalankan dari nol setiap kali ada request konversi. Startup LibreOffice membutuhkan ~60 detik (load JVM, inisialisasi komponen).</t>
  </si>
  <si>
    <t>Implementasi bertahap: (1) LibreOfficeDaemon — soffice jalan sekali di Startup.cs. (2) Caching PDF di DOCUMENT_TEMP — buka kedua kali langsung tampil. (3) Cache invalidation di AddEditAsync() saat dokumen diupdate.</t>
  </si>
  <si>
    <t>Fungsi Print — Jumlah Copy Tidak Terkontrol</t>
  </si>
  <si>
    <t>printAttachment(), ViewAttachment()</t>
  </si>
  <si>
    <t>User bisa mengubah jumlah copy di dialog print browser setelah tombol print diklik. Untuk kontrol dokumen QMS, jumlah copy harus terkontrol penuh.</t>
  </si>
  <si>
    <t>Implementasi modal konfirmasi print (input copy + hitung total lembar). PDF diduplikasi sesuai copy di server. Watermark COPY X of N per halaman. Opsi lanjutan: QZ Tray untuk silent print ke network printer.</t>
  </si>
  <si>
    <t>2026-05-20</t>
  </si>
  <si>
    <t>Sequence Contains No Elements — insertDocumentLog</t>
  </si>
  <si>
    <t>insertDocumentLog()</t>
  </si>
  <si>
    <t>Error 'Sequence contains no elements' saat printAttachment dipanggil. Disebabkan oleh .First() pada collection kosong di query notifikasi template.</t>
  </si>
  <si>
    <t>Ganti semua .First() dengan .FirstOrDefault() di insertDocumentLog dan tambah null check sebelum membuat objek Notification.</t>
  </si>
  <si>
    <t>Duplicate Method printAttachment — Ambiguous Call</t>
  </si>
  <si>
    <t>DocumentMaintenanceController.cs</t>
  </si>
  <si>
    <t>Ada 2 definisi method printAttachment dengan signature berbeda (dengan dan tanpa parameter printCopy). Menyebabkan error 500.</t>
  </si>
  <si>
    <t>Hapus method lama, pertahankan hanya method baru dengan parameter int printCopy = 1 (optional parameter).</t>
  </si>
  <si>
    <t>Tanggal</t>
  </si>
  <si>
    <t>Method / Fungsi</t>
  </si>
  <si>
    <t>File</t>
  </si>
  <si>
    <t>Tipe</t>
  </si>
  <si>
    <t>Detail Perubahan</t>
  </si>
  <si>
    <t>Bugfix</t>
  </si>
  <si>
    <t>Tambah guard coverOnlyFields: field header (DOCUMENT_CODE, DOCUMENT_TRANSACTION_NAME, DOCUMENT_REVISION_0_DATE, REVISION, DOCUMENT_DATE) hanya ditulis di sheetPosition==0. Sheet lain pakai formula =COVER!ACx.</t>
  </si>
  <si>
    <t>Hendra</t>
  </si>
  <si>
    <t>Baru</t>
  </si>
  <si>
    <t>Method baru untuk double-clean Print_Titles dari xl/workbook.xml menggunakan Regex pada ZIP. Dipanggil sebelum baca DAN setelah write workbook.</t>
  </si>
  <si>
    <t>SafeGetRow() / SafeGetCell()</t>
  </si>
  <si>
    <t>Helper method handle null row/cell di NPOI. Row/cell yang null akan di-create otomatis.</t>
  </si>
  <si>
    <t>ParseAndFormatDate()</t>
  </si>
  <si>
    <t>Format tanggal dari DB ke dd-MMM-yy menggunakan CultureInfo id-ID (Bahasa Indonesia).</t>
  </si>
  <si>
    <t>TYPE==3 logic</t>
  </si>
  <si>
    <t>Aktifkan SetCellValue(formattedDate) untuk Tgl.Dikeluarkan dan Tgl.Revisi. Sebelumnya dikomen.</t>
  </si>
  <si>
    <t>2026-05-15</t>
  </si>
  <si>
    <t>LibreOfficeDaemon.cs</t>
  </si>
  <si>
    <t>Root Project</t>
  </si>
  <si>
    <t>Class baru untuk menjalankan soffice sebagai daemon via --accept socket port 2002. Dipanggil sekali saat aplikasi start di Startup.cs.</t>
  </si>
  <si>
    <t>Configure()</t>
  </si>
  <si>
    <t>Startup.cs</t>
  </si>
  <si>
    <t>Modifikasi</t>
  </si>
  <si>
    <t>Tambah LibreOfficeDaemon.Start() setelah UseHangfireDashboard().</t>
  </si>
  <si>
    <t>2026-05-18</t>
  </si>
  <si>
    <t>ConvertToPdf()</t>
  </si>
  <si>
    <t>Tambah ConvertToPdfFallback() sebagai fallback headless jika daemon belum siap.</t>
  </si>
  <si>
    <t>ViewAttachment()</t>
  </si>
  <si>
    <t>Tambah pengecekan cache PDF di DOCUMENT_TEMP sebelum proses konversi. Jika PDF sudah ada langsung tampil tanpa convert ulang.</t>
  </si>
  <si>
    <t>AddEditAsync()</t>
  </si>
  <si>
    <t>Tambah hapus cache PDF lama di blok else (Update) setelah Update() berhasil agar PDF ter-generate ulang saat dokumen direvisi.</t>
  </si>
  <si>
    <t>printAttachment()</t>
  </si>
  <si>
    <t>Tambah cache check PDF sebelum proses konversi. Tambah parameter printCopy untuk duplikasi halaman sesuai jumlah copy.</t>
  </si>
  <si>
    <t>GetPdfPageCount()</t>
  </si>
  <si>
    <t>Endpoint GET baru untuk menghitung jumlah halaman PDF menggunakan PdfSharp. Digunakan oleh modal konfirmasi print di frontend.</t>
  </si>
  <si>
    <t>Modal Konfirmasi Print</t>
  </si>
  <si>
    <t>Index.cshtml (View)</t>
  </si>
  <si>
    <t>Modal HTML baru dengan input jumlah copy, tampilkan total halaman dan total lembar. Tombol print → server generate PDF dengan watermark COPY X of N.</t>
  </si>
  <si>
    <t>Ganti .First() dengan .FirstOrDefault() + null check untuk notifikasi template. Fix error 'Sequence contains no elements'.</t>
  </si>
  <si>
    <t>printAttachment() (duplikat)</t>
  </si>
  <si>
    <t>Hapus method printAttachment lama (tanpa printCopy). Pertahankan hanya method baru dengan optional parameter int printCopy = 1.</t>
  </si>
  <si>
    <t>📅  PROJECT TIMELINE — KADAI EMAIL DMS</t>
  </si>
  <si>
    <t>Est. Selesai: 12 Jun 2026</t>
  </si>
  <si>
    <t>May 2026</t>
  </si>
  <si>
    <t>June 2026</t>
  </si>
  <si>
    <t>Nama Task</t>
  </si>
  <si>
    <t>Durasi</t>
  </si>
  <si>
    <t>Sn</t>
  </si>
  <si>
    <t>Sl</t>
  </si>
  <si>
    <t>Rb</t>
  </si>
  <si>
    <t>Km</t>
  </si>
  <si>
    <t>Jm</t>
  </si>
  <si>
    <t>Sb</t>
  </si>
  <si>
    <t>Mg</t>
  </si>
  <si>
    <t>Libur</t>
  </si>
  <si>
    <t>Penomoran Dept &amp; Div</t>
  </si>
  <si>
    <t>1 hr</t>
  </si>
  <si>
    <t xml:space="preserve"> </t>
  </si>
  <si>
    <t>25/05–25/05</t>
  </si>
  <si>
    <t>Distribusi Tambah/Kurang Dept</t>
  </si>
  <si>
    <t>26/05–26/05</t>
  </si>
  <si>
    <t>Form Level 4 tanpa Approval</t>
  </si>
  <si>
    <t>2 hr</t>
  </si>
  <si>
    <t>02/06–03/06</t>
  </si>
  <si>
    <t>Fungsi Obsolete Dokumen</t>
  </si>
  <si>
    <t>04/06–05/06</t>
  </si>
  <si>
    <t>Notifikasi Request Print</t>
  </si>
  <si>
    <t>08/06–09/06</t>
  </si>
  <si>
    <t>Control Print QMS (QZ Tray)</t>
  </si>
  <si>
    <t>3 hr</t>
  </si>
  <si>
    <t>10/06–12/06</t>
  </si>
  <si>
    <t>⏳ Tambah Format Sipocor/Prosedur</t>
  </si>
  <si>
    <t>TBD</t>
  </si>
  <si>
    <t>⏳ Report CC &amp; Uncontrolled Copy</t>
  </si>
  <si>
    <t>⏳ Format Fix Stampel</t>
  </si>
  <si>
    <t>Total: 11 hari kerja efektif  |  Selesai: 12 June 2026  |  3 kadai ⏳ menunggu konfirmasi dari QMS</t>
  </si>
  <si>
    <t>LEGENDA:</t>
  </si>
  <si>
    <t>Task (bar penuh)</t>
  </si>
  <si>
    <t>Weekend</t>
  </si>
  <si>
    <t>Hari Libur Nasional</t>
  </si>
  <si>
    <t>⏳ Tunggu QMS</t>
  </si>
  <si>
    <t>Warna bar = durasi pengerjaan task</t>
  </si>
  <si>
    <t>Sabtu &amp; Minggu — tidak dihitung</t>
  </si>
  <si>
    <t>Tanggal merah resmi — tidak dihitung</t>
  </si>
  <si>
    <t>Menunggu konfirmasi/spec dari QMS</t>
  </si>
  <si>
    <t>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</si>
</sst>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6" x14ac:knownFonts="1">
    <font>
      <sz val="11"/>
      <color theme="1"/>
      <name val="Calibri"/>
      <family val="2"/>
      <scheme val="minor"/>
    </font>
    <font>
      <b/>
      <sz val="20"/>
      <color rgb="FFFFFFFF"/>
      <name val="Arial"/>
    </font>
    <font>
      <sz val="10"/>
      <color rgb="FFA0A0A0"/>
      <name val="Arial"/>
    </font>
    <font>
      <b/>
      <sz val="9"/>
      <color rgb="FF2E75B6"/>
      <name val="Arial"/>
    </font>
    <font>
      <b/>
      <sz val="22"/>
      <color rgb="FF2E75B6"/>
      <name val="Arial"/>
    </font>
    <font>
      <b/>
      <sz val="9"/>
      <color rgb="FF375623"/>
      <name val="Arial"/>
    </font>
    <font>
      <b/>
      <sz val="22"/>
      <color rgb="FF375623"/>
      <name val="Arial"/>
    </font>
    <font>
      <b/>
      <sz val="9"/>
      <color rgb="FF7D6608"/>
      <name val="Arial"/>
    </font>
    <font>
      <b/>
      <sz val="22"/>
      <color rgb="FF7D6608"/>
      <name val="Arial"/>
    </font>
    <font>
      <b/>
      <sz val="9"/>
      <color rgb="FFC55A11"/>
      <name val="Arial"/>
    </font>
    <font>
      <b/>
      <sz val="22"/>
      <color rgb="FFC55A11"/>
      <name val="Arial"/>
    </font>
    <font>
      <b/>
      <sz val="9"/>
      <color rgb="FF008080"/>
      <name val="Arial"/>
    </font>
    <font>
      <b/>
      <sz val="22"/>
      <color rgb="FF008080"/>
      <name val="Arial"/>
    </font>
    <font>
      <b/>
      <sz val="11"/>
      <color rgb="FF1F3864"/>
      <name val="Arial"/>
    </font>
    <font>
      <b/>
      <sz val="10"/>
      <color rgb="FFFFFFFF"/>
      <name val="Arial"/>
    </font>
    <font>
      <b/>
      <sz val="10"/>
      <color rgb="FF375623"/>
      <name val="Arial"/>
    </font>
    <font>
      <sz val="10"/>
      <color rgb="FF000000"/>
      <name val="Arial"/>
    </font>
    <font>
      <b/>
      <sz val="10"/>
      <color rgb="FF7D6608"/>
      <name val="Arial"/>
    </font>
    <font>
      <b/>
      <sz val="10"/>
      <color rgb="FFC55A11"/>
      <name val="Arial"/>
    </font>
    <font>
      <b/>
      <sz val="10"/>
      <color rgb="FFC00000"/>
      <name val="Arial"/>
    </font>
    <font>
      <b/>
      <sz val="10"/>
      <color rgb="FF808080"/>
      <name val="Arial"/>
    </font>
    <font>
      <sz val="9"/>
      <color rgb="FF909090"/>
      <name val="Arial"/>
    </font>
    <font>
      <b/>
      <sz val="10"/>
      <color rgb="FF000000"/>
      <name val="Arial"/>
    </font>
    <font>
      <b/>
      <sz val="10"/>
      <color rgb="FF1F3864"/>
      <name val="Arial"/>
    </font>
    <font>
      <sz val="10"/>
      <color rgb="FF404040"/>
      <name val="Arial"/>
    </font>
    <font>
      <sz val="10"/>
      <color rgb="FF606060"/>
      <name val="Arial"/>
    </font>
    <font>
      <b/>
      <sz val="10"/>
      <color rgb="FF008080"/>
      <name val="Arial"/>
    </font>
    <font>
      <b/>
      <sz val="10"/>
      <color rgb="FF2E75B6"/>
      <name val="Arial"/>
    </font>
    <font>
      <sz val="10"/>
      <color rgb="FF909090"/>
      <name val="Arial"/>
    </font>
    <font>
      <b/>
      <sz val="12"/>
      <color rgb="FFF59E0B"/>
      <name val="Arial"/>
    </font>
    <font>
      <b/>
      <sz val="11"/>
      <color rgb="FFFFFFFF"/>
      <name val="Arial"/>
    </font>
    <font>
      <sz val="9"/>
      <color rgb="FF606060"/>
      <name val="Arial"/>
    </font>
    <font>
      <sz val="10"/>
      <color rgb="FFFFFFFF"/>
      <name val="Arial"/>
    </font>
    <font>
      <b/>
      <sz val="11"/>
      <color rgb="FFF59E0B"/>
      <name val="Arial"/>
    </font>
    <font>
      <b/>
      <sz val="10"/>
      <color rgb="FF93C5FD"/>
      <name val="Arial"/>
    </font>
    <font>
      <b/>
      <sz val="12"/>
      <color rgb="FFFFFFFF"/>
      <name val="Arial"/>
    </font>
    <font>
      <b/>
      <sz val="9"/>
      <color rgb="FFC00000"/>
      <name val="Arial"/>
    </font>
    <font>
      <b/>
      <sz val="22"/>
      <color rgb="FFC00000"/>
      <name val="Arial"/>
    </font>
    <font>
      <sz val="8"/>
      <color rgb="FF606060"/>
      <name val="Arial"/>
    </font>
    <font>
      <sz val="9"/>
      <color rgb="FFC55A11"/>
      <name val="Arial"/>
    </font>
    <font>
      <sz val="9"/>
      <color rgb="FF93C5FD"/>
      <name val="Arial"/>
    </font>
    <font>
      <sz val="8"/>
      <color rgb="FF909090"/>
      <name val="Arial"/>
    </font>
    <font>
      <sz val="9"/>
      <color rgb="FF404040"/>
      <name val="Arial"/>
    </font>
    <font>
      <b/>
      <sz val="10"/>
      <color rgb="FFFFFFFF"/>
      <name val="Calibri"/>
    </font>
    <font>
      <b/>
      <sz val="9"/>
      <color rgb="FFFFFFFF"/>
      <name val="Calibri"/>
    </font>
    <font>
      <b/>
      <sz val="8"/>
      <color rgb="FFFFFFFF"/>
      <name val="Calibri"/>
    </font>
    <font>
      <b/>
      <sz val="7"/>
      <color rgb="FF991B1B"/>
      <name val="Calibri"/>
    </font>
    <font>
      <sz val="7"/>
      <color rgb="FF6B7280"/>
      <name val="Calibri"/>
    </font>
    <font>
      <sz val="7"/>
      <color rgb="FF94A3B8"/>
      <name val="Calibri"/>
    </font>
    <font>
      <b/>
      <sz val="9"/>
      <color rgb="FF0F766E"/>
      <name val="Calibri"/>
    </font>
    <font>
      <b/>
      <sz val="9"/>
      <color rgb="FF111827"/>
      <name val="Calibri"/>
    </font>
    <font>
      <b/>
      <sz val="8"/>
      <color rgb="FFC2410C"/>
      <name val="Calibri"/>
    </font>
    <font>
      <sz val="8"/>
      <color rgb="FF6B7280"/>
      <name val="Calibri"/>
    </font>
    <font>
      <b/>
      <sz val="8"/>
      <color rgb="FF92400E"/>
      <name val="Calibri"/>
    </font>
    <font>
      <b/>
      <sz val="9"/>
      <color rgb="FFC2410C"/>
      <name val="Calibri"/>
    </font>
    <font>
      <b/>
      <sz val="9"/>
      <color rgb="FF92400E"/>
      <name val="Calibri"/>
    </font>
    <font>
      <b/>
      <sz val="9"/>
      <color rgb="FF1F3864"/>
      <name val="Calibri"/>
    </font>
    <font>
      <b/>
      <sz val="6"/>
      <color rgb="FF991B1B"/>
      <name val="Calibri"/>
    </font>
    <font>
      <b/>
      <sz val="8"/>
      <color rgb="FF6B7280"/>
      <name val="Calibri"/>
    </font>
    <font>
      <b/>
      <sz val="8"/>
      <color rgb="FF991B1B"/>
      <name val="Calibri"/>
    </font>
    <font>
      <b/>
      <sz val="15"/>
      <color rgb="FFFFFFFF"/>
      <name val="Calibri"/>
    </font>
    <font>
      <b/>
      <sz val="9"/>
      <color rgb="FFF59E0B"/>
      <name val="Calibri"/>
    </font>
    <font>
      <sz val="7"/>
      <color rgb="FFBBBBBB"/>
      <name val="Calibri"/>
    </font>
    <font>
      <sz val="6"/>
      <color rgb="FF991B1B"/>
      <name val="Calibri"/>
    </font>
    <font>
      <sz val="6"/>
      <color rgb="FFBBBBBB"/>
      <name val="Calibri"/>
    </font>
    <font>
      <b/>
      <sz val="10"/>
      <color rgb="FF0369A1"/>
      <name val="Calibri"/>
    </font>
    <font>
      <b/>
      <sz val="9"/>
      <color rgb="FF0369A1"/>
      <name val="Calibri"/>
    </font>
    <font>
      <b/>
      <sz val="10"/>
      <color rgb="FF0F766E"/>
      <name val="Calibri"/>
    </font>
    <font>
      <b/>
      <sz val="10"/>
      <color rgb="FF6D28D9"/>
      <name val="Calibri"/>
    </font>
    <font>
      <b/>
      <sz val="9"/>
      <color rgb="FF6D28D9"/>
      <name val="Calibri"/>
    </font>
    <font>
      <b/>
      <sz val="10"/>
      <color rgb="FFBE185D"/>
      <name val="Calibri"/>
    </font>
    <font>
      <b/>
      <sz val="9"/>
      <color rgb="FFBE185D"/>
      <name val="Calibri"/>
    </font>
    <font>
      <b/>
      <sz val="10"/>
      <color rgb="FF15803D"/>
      <name val="Calibri"/>
    </font>
    <font>
      <b/>
      <sz val="9"/>
      <color rgb="FF15803D"/>
      <name val="Calibri"/>
    </font>
    <font>
      <b/>
      <sz val="10"/>
      <color rgb="FFC2410C"/>
      <name val="Calibri"/>
    </font>
    <font>
      <b/>
      <sz val="10"/>
      <color rgb="FF92400E"/>
      <name val="Calibri"/>
    </font>
  </fonts>
  <fills count="35">
    <fill>
      <patternFill patternType="none"/>
    </fill>
    <fill>
      <patternFill patternType="gray125"/>
    </fill>
    <fill>
      <patternFill patternType="solid">
        <fgColor rgb="FF1F3864"/>
      </patternFill>
    </fill>
    <fill>
      <patternFill patternType="solid">
        <fgColor rgb="FFD6E4F0"/>
      </patternFill>
    </fill>
    <fill>
      <patternFill patternType="solid">
        <fgColor rgb="FFE2EFDA"/>
      </patternFill>
    </fill>
    <fill>
      <patternFill patternType="solid">
        <fgColor rgb="FFFFF2CC"/>
      </patternFill>
    </fill>
    <fill>
      <patternFill patternType="solid">
        <fgColor rgb="FFFCE4D6"/>
      </patternFill>
    </fill>
    <fill>
      <patternFill patternType="solid">
        <fgColor rgb="FFE0F2F1"/>
      </patternFill>
    </fill>
    <fill>
      <patternFill patternType="solid">
        <fgColor rgb="FFF2F2F2"/>
      </patternFill>
    </fill>
    <fill>
      <patternFill patternType="solid">
        <fgColor rgb="FF2E75B6"/>
      </patternFill>
    </fill>
    <fill>
      <patternFill patternType="solid">
        <fgColor rgb="FFFFFFFF"/>
      </patternFill>
    </fill>
    <fill>
      <patternFill patternType="solid">
        <fgColor rgb="FFFFE0E0"/>
      </patternFill>
    </fill>
    <fill>
      <patternFill patternType="solid">
        <fgColor rgb="FF008080"/>
      </patternFill>
    </fill>
    <fill>
      <patternFill patternType="solid">
        <fgColor rgb="FFEBF3FB"/>
      </patternFill>
    </fill>
    <fill>
      <patternFill patternType="solid">
        <fgColor rgb="FF2563EB"/>
      </patternFill>
    </fill>
    <fill>
      <patternFill patternType="solid">
        <fgColor rgb="FFEDE9FE"/>
      </patternFill>
    </fill>
    <fill>
      <patternFill patternType="solid">
        <fgColor rgb="FFFCE7F3"/>
      </patternFill>
    </fill>
    <fill>
      <patternFill patternType="solid">
        <fgColor rgb="FFFEF3C7"/>
      </patternFill>
    </fill>
    <fill>
      <patternFill patternType="solid">
        <fgColor rgb="FF374151"/>
      </patternFill>
    </fill>
    <fill>
      <patternFill patternType="solid">
        <fgColor rgb="FF1E293B"/>
      </patternFill>
    </fill>
    <fill>
      <patternFill patternType="solid">
        <fgColor rgb="FFFEE2E2"/>
      </patternFill>
    </fill>
    <fill>
      <patternFill patternType="solid">
        <fgColor rgb="FFF3F4F6"/>
      </patternFill>
    </fill>
    <fill>
      <patternFill patternType="solid">
        <fgColor rgb="FF293548"/>
      </patternFill>
    </fill>
    <fill>
      <patternFill patternType="solid">
        <fgColor rgb="FFCCFBF1"/>
      </patternFill>
    </fill>
    <fill>
      <patternFill patternType="solid">
        <fgColor rgb="FFFFEDD5"/>
      </patternFill>
    </fill>
    <fill>
      <patternFill patternType="solid">
        <fgColor rgb="FF0F766E"/>
      </patternFill>
    </fill>
    <fill>
      <patternFill patternType="solid">
        <fgColor rgb="FFF9FAFB"/>
      </patternFill>
    </fill>
    <fill>
      <patternFill patternType="solid">
        <fgColor rgb="FFDCFCE7"/>
      </patternFill>
    </fill>
    <fill>
      <patternFill patternType="solid">
        <fgColor rgb="FFC2410C"/>
      </patternFill>
    </fill>
    <fill>
      <patternFill patternType="solid">
        <fgColor rgb="FFFFF7F7"/>
      </patternFill>
    </fill>
    <fill>
      <patternFill patternType="solid">
        <fgColor rgb="FFE0F2FE"/>
      </patternFill>
    </fill>
    <fill>
      <patternFill patternType="solid">
        <fgColor rgb="FF0369A1"/>
      </patternFill>
    </fill>
    <fill>
      <patternFill patternType="solid">
        <fgColor rgb="FF6D28D9"/>
      </patternFill>
    </fill>
    <fill>
      <patternFill patternType="solid">
        <fgColor rgb="FFBE185D"/>
      </patternFill>
    </fill>
    <fill>
      <patternFill patternType="solid">
        <fgColor rgb="FF15803D"/>
      </patternFill>
    </fill>
  </fills>
  <borders count="10">
    <border>
      <left/>
      <right/>
      <top/>
      <bottom/>
      <diagonal/>
    </border>
    <border>
      <left style="medium">
        <color rgb="FFFFFFFF"/>
      </left>
      <right style="medium">
        <color rgb="FFFFFFFF"/>
      </right>
      <top style="medium">
        <color rgb="FFFFFFFF"/>
      </top>
      <bottom style="medium">
        <color rgb="FFFFFFFF"/>
      </bottom>
      <diagonal/>
    </border>
    <border>
      <left/>
      <right style="medium">
        <color rgb="FFFFFFFF"/>
      </right>
      <top style="medium">
        <color rgb="FFFFFFFF"/>
      </top>
      <bottom style="medium">
        <color rgb="FFFFFFFF"/>
      </bottom>
      <diagonal/>
    </border>
    <border>
      <left style="thin">
        <color rgb="FFD0D0D0"/>
      </left>
      <right style="thin">
        <color rgb="FFD0D0D0"/>
      </right>
      <top style="thin">
        <color rgb="FFD0D0D0"/>
      </top>
      <bottom style="thin">
        <color rgb="FFD0D0D0"/>
      </bottom>
      <diagonal/>
    </border>
    <border>
      <left/>
      <right style="thin">
        <color rgb="FFD0D0D0"/>
      </right>
      <top style="thin">
        <color rgb="FFD0D0D0"/>
      </top>
      <bottom style="thin">
        <color rgb="FFD0D0D0"/>
      </bottom>
      <diagonal/>
    </border>
    <border>
      <left/>
      <right/>
      <top/>
      <bottom/>
      <diagonal/>
    </border>
    <border>
      <left style="thin">
        <color rgb="FF374151"/>
      </left>
      <right style="thin">
        <color rgb="FF374151"/>
      </right>
      <top style="thin">
        <color rgb="FF374151"/>
      </top>
      <bottom style="thin">
        <color rgb="FF374151"/>
      </bottom>
      <diagonal/>
    </border>
    <border>
      <left style="thin">
        <color rgb="FFE5E7EB"/>
      </left>
      <right style="thin">
        <color rgb="FFE5E7EB"/>
      </right>
      <top style="thin">
        <color rgb="FFE5E7EB"/>
      </top>
      <bottom style="thin">
        <color rgb="FFE5E7EB"/>
      </bottom>
      <diagonal/>
    </border>
    <border>
      <left style="medium">
        <color rgb="FFFFFFFF"/>
      </left>
      <right style="medium">
        <color rgb="FFFFFFFF"/>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0">
    <xf numFmtId="0" fontId="0" fillId="0" borderId="0" xfId="0"/>
    <xf numFmtId="0" fontId="3" fillId="3" borderId="0" xfId="0" applyFont="1" applyFill="1" applyAlignment="1">
      <alignment horizontal="center" vertical="center"/>
    </xf>
    <xf numFmtId="0" fontId="5" fillId="4" borderId="0" xfId="0" applyFont="1" applyFill="1" applyAlignment="1">
      <alignment horizontal="center" vertical="center"/>
    </xf>
    <xf numFmtId="0" fontId="7" fillId="5" borderId="0" xfId="0" applyFont="1" applyFill="1" applyAlignment="1">
      <alignment horizontal="center" vertical="center"/>
    </xf>
    <xf numFmtId="0" fontId="9" fillId="6" borderId="0" xfId="0" applyFont="1" applyFill="1" applyAlignment="1">
      <alignment horizontal="center" vertical="center"/>
    </xf>
    <xf numFmtId="0" fontId="11" fillId="7" borderId="0" xfId="0" applyFont="1" applyFill="1" applyAlignment="1">
      <alignment horizontal="center" vertical="center"/>
    </xf>
    <xf numFmtId="0" fontId="4" fillId="3" borderId="0" xfId="0" applyFont="1" applyFill="1" applyAlignment="1">
      <alignment horizontal="center" vertical="center"/>
    </xf>
    <xf numFmtId="0" fontId="6" fillId="4" borderId="0" xfId="0" applyFont="1" applyFill="1" applyAlignment="1">
      <alignment horizontal="center" vertical="center"/>
    </xf>
    <xf numFmtId="0" fontId="8" fillId="5" borderId="0" xfId="0" applyFont="1" applyFill="1" applyAlignment="1">
      <alignment horizontal="center" vertical="center"/>
    </xf>
    <xf numFmtId="0" fontId="10" fillId="6" borderId="0" xfId="0" applyFont="1" applyFill="1" applyAlignment="1">
      <alignment horizontal="center" vertical="center"/>
    </xf>
    <xf numFmtId="0" fontId="12" fillId="7" borderId="0" xfId="0" applyFont="1" applyFill="1" applyAlignment="1">
      <alignment horizontal="center" vertical="center"/>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14" fillId="9" borderId="1" xfId="0" applyFont="1" applyFill="1" applyBorder="1" applyAlignment="1">
      <alignment horizontal="center" vertical="center"/>
    </xf>
    <xf numFmtId="0" fontId="15" fillId="4" borderId="3" xfId="0" applyFont="1" applyFill="1" applyBorder="1" applyAlignment="1">
      <alignment horizontal="center" vertical="center"/>
    </xf>
    <xf numFmtId="0" fontId="16" fillId="10" borderId="3" xfId="0" applyFont="1" applyFill="1" applyBorder="1" applyAlignment="1">
      <alignment horizontal="left" vertical="center"/>
    </xf>
    <xf numFmtId="0" fontId="17" fillId="5" borderId="3" xfId="0" applyFont="1" applyFill="1" applyBorder="1" applyAlignment="1">
      <alignment horizontal="center" vertical="center"/>
    </xf>
    <xf numFmtId="0" fontId="16" fillId="8" borderId="3" xfId="0" applyFont="1" applyFill="1" applyBorder="1" applyAlignment="1">
      <alignment horizontal="left" vertical="center"/>
    </xf>
    <xf numFmtId="0" fontId="18" fillId="6" borderId="3" xfId="0" applyFont="1" applyFill="1" applyBorder="1" applyAlignment="1">
      <alignment horizontal="center" vertical="center"/>
    </xf>
    <xf numFmtId="0" fontId="18" fillId="5" borderId="3" xfId="0" applyFont="1" applyFill="1" applyBorder="1" applyAlignment="1">
      <alignment horizontal="center" vertical="center"/>
    </xf>
    <xf numFmtId="0" fontId="19" fillId="11" borderId="3" xfId="0" applyFont="1" applyFill="1" applyBorder="1" applyAlignment="1">
      <alignment horizontal="center" vertical="center"/>
    </xf>
    <xf numFmtId="0" fontId="20" fillId="8" borderId="3" xfId="0" applyFont="1" applyFill="1" applyBorder="1" applyAlignment="1">
      <alignment horizontal="center" vertical="center"/>
    </xf>
    <xf numFmtId="0" fontId="14" fillId="2" borderId="1" xfId="0" applyFont="1" applyFill="1" applyBorder="1" applyAlignment="1">
      <alignment horizontal="center" vertical="center"/>
    </xf>
    <xf numFmtId="0" fontId="22" fillId="10" borderId="3" xfId="0" applyFont="1" applyFill="1" applyBorder="1" applyAlignment="1">
      <alignment horizontal="center" vertical="center"/>
    </xf>
    <xf numFmtId="0" fontId="23" fillId="10" borderId="3" xfId="0" applyFont="1" applyFill="1" applyBorder="1" applyAlignment="1">
      <alignment horizontal="left" vertical="center" wrapText="1"/>
    </xf>
    <xf numFmtId="0" fontId="24" fillId="10" borderId="3" xfId="0" applyFont="1" applyFill="1" applyBorder="1" applyAlignment="1">
      <alignment horizontal="left" vertical="center" wrapText="1"/>
    </xf>
    <xf numFmtId="0" fontId="25" fillId="10" borderId="3" xfId="0" applyFont="1" applyFill="1" applyBorder="1" applyAlignment="1">
      <alignment horizontal="center" vertical="center"/>
    </xf>
    <xf numFmtId="0" fontId="16" fillId="10" borderId="3" xfId="0" applyFont="1" applyFill="1" applyBorder="1" applyAlignment="1">
      <alignment horizontal="center" vertical="center"/>
    </xf>
    <xf numFmtId="0" fontId="25" fillId="10" borderId="3" xfId="0" applyFont="1" applyFill="1" applyBorder="1" applyAlignment="1">
      <alignment horizontal="left" vertical="center" wrapText="1"/>
    </xf>
    <xf numFmtId="0" fontId="22" fillId="8" borderId="3" xfId="0" applyFont="1" applyFill="1" applyBorder="1" applyAlignment="1">
      <alignment horizontal="center" vertical="center"/>
    </xf>
    <xf numFmtId="0" fontId="23" fillId="8" borderId="3" xfId="0" applyFont="1" applyFill="1" applyBorder="1" applyAlignment="1">
      <alignment horizontal="left" vertical="center" wrapText="1"/>
    </xf>
    <xf numFmtId="0" fontId="24" fillId="8" borderId="3" xfId="0" applyFont="1" applyFill="1" applyBorder="1" applyAlignment="1">
      <alignment horizontal="left" vertical="center" wrapText="1"/>
    </xf>
    <xf numFmtId="0" fontId="25" fillId="8" borderId="3" xfId="0" applyFont="1" applyFill="1" applyBorder="1" applyAlignment="1">
      <alignment horizontal="center" vertical="center"/>
    </xf>
    <xf numFmtId="0" fontId="16" fillId="8" borderId="3" xfId="0" applyFont="1" applyFill="1" applyBorder="1" applyAlignment="1">
      <alignment horizontal="center" vertical="center"/>
    </xf>
    <xf numFmtId="0" fontId="25" fillId="8" borderId="3" xfId="0" applyFont="1" applyFill="1" applyBorder="1" applyAlignment="1">
      <alignment horizontal="left" vertical="center" wrapText="1"/>
    </xf>
    <xf numFmtId="0" fontId="14" fillId="12" borderId="1" xfId="0" applyFont="1" applyFill="1" applyBorder="1" applyAlignment="1">
      <alignment horizontal="center" vertical="center"/>
    </xf>
    <xf numFmtId="0" fontId="26" fillId="10" borderId="3" xfId="0" applyFont="1" applyFill="1" applyBorder="1" applyAlignment="1">
      <alignment horizontal="left" vertical="center" wrapText="1"/>
    </xf>
    <xf numFmtId="0" fontId="26" fillId="8" borderId="3" xfId="0" applyFont="1" applyFill="1" applyBorder="1" applyAlignment="1">
      <alignment horizontal="left" vertical="center" wrapText="1"/>
    </xf>
    <xf numFmtId="0" fontId="16" fillId="10" borderId="3" xfId="0" applyFont="1" applyFill="1" applyBorder="1" applyAlignment="1">
      <alignment horizontal="left" vertical="center" wrapText="1"/>
    </xf>
    <xf numFmtId="0" fontId="16" fillId="8" borderId="3" xfId="0" applyFont="1" applyFill="1" applyBorder="1" applyAlignment="1">
      <alignment horizontal="left" vertical="center" wrapText="1"/>
    </xf>
    <xf numFmtId="0" fontId="27" fillId="13" borderId="3" xfId="0" applyFont="1" applyFill="1" applyBorder="1" applyAlignment="1">
      <alignment horizontal="center" vertical="center"/>
    </xf>
    <xf numFmtId="0" fontId="29" fillId="2" borderId="1" xfId="0" applyFont="1" applyFill="1" applyBorder="1" applyAlignment="1">
      <alignment horizontal="center" vertical="center"/>
    </xf>
    <xf numFmtId="0" fontId="28" fillId="10" borderId="3" xfId="0" applyFont="1" applyFill="1" applyBorder="1" applyAlignment="1">
      <alignment horizontal="center" vertical="center"/>
    </xf>
    <xf numFmtId="0" fontId="23" fillId="13" borderId="3" xfId="0" applyFont="1" applyFill="1" applyBorder="1" applyAlignment="1">
      <alignment horizontal="center" vertical="center"/>
    </xf>
    <xf numFmtId="0" fontId="16" fillId="10" borderId="5" xfId="0" applyFont="1" applyFill="1" applyBorder="1" applyAlignment="1">
      <alignment horizontal="left" vertical="center"/>
    </xf>
    <xf numFmtId="0" fontId="31" fillId="10" borderId="3" xfId="0" applyFont="1" applyFill="1" applyBorder="1" applyAlignment="1">
      <alignment horizontal="left" vertical="center"/>
    </xf>
    <xf numFmtId="0" fontId="31" fillId="8" borderId="3" xfId="0" applyFont="1" applyFill="1" applyBorder="1" applyAlignment="1">
      <alignment horizontal="left" vertical="center"/>
    </xf>
    <xf numFmtId="0" fontId="30" fillId="2" borderId="1" xfId="0" applyFont="1" applyFill="1" applyBorder="1" applyAlignment="1">
      <alignment horizontal="center" vertical="center"/>
    </xf>
    <xf numFmtId="0" fontId="32" fillId="2" borderId="1" xfId="0" applyFont="1" applyFill="1" applyBorder="1" applyAlignment="1">
      <alignment horizontal="center" vertical="center"/>
    </xf>
    <xf numFmtId="0" fontId="33" fillId="2" borderId="1" xfId="0" applyFont="1" applyFill="1" applyBorder="1" applyAlignment="1">
      <alignment horizontal="center" vertical="center"/>
    </xf>
    <xf numFmtId="0" fontId="34" fillId="2" borderId="1" xfId="0" applyFont="1" applyFill="1" applyBorder="1" applyAlignment="1">
      <alignment horizontal="center" vertical="center"/>
    </xf>
    <xf numFmtId="0" fontId="35" fillId="2" borderId="1" xfId="0" applyFont="1" applyFill="1" applyBorder="1" applyAlignment="1">
      <alignment horizontal="left" vertical="center"/>
    </xf>
    <xf numFmtId="0" fontId="16" fillId="2" borderId="1" xfId="0" applyFont="1" applyFill="1" applyBorder="1" applyAlignment="1">
      <alignment horizontal="left" vertical="center"/>
    </xf>
    <xf numFmtId="0" fontId="3" fillId="3" borderId="5" xfId="0" applyFont="1" applyFill="1" applyBorder="1" applyAlignment="1">
      <alignment horizontal="center" vertical="center"/>
    </xf>
    <xf numFmtId="0" fontId="5" fillId="4" borderId="5" xfId="0" applyFont="1" applyFill="1" applyBorder="1" applyAlignment="1">
      <alignment horizontal="center" vertical="center"/>
    </xf>
    <xf numFmtId="0" fontId="7" fillId="5" borderId="5" xfId="0" applyFont="1" applyFill="1" applyBorder="1" applyAlignment="1">
      <alignment horizontal="center" vertical="center"/>
    </xf>
    <xf numFmtId="0" fontId="9" fillId="6" borderId="5" xfId="0" applyFont="1" applyFill="1" applyBorder="1" applyAlignment="1">
      <alignment horizontal="center" vertical="center"/>
    </xf>
    <xf numFmtId="0" fontId="11" fillId="7" borderId="5" xfId="0" applyFont="1" applyFill="1" applyBorder="1" applyAlignment="1">
      <alignment horizontal="center" vertical="center"/>
    </xf>
    <xf numFmtId="0" fontId="36" fillId="11" borderId="5" xfId="0" applyFont="1" applyFill="1" applyBorder="1" applyAlignment="1">
      <alignment horizontal="center" vertical="center"/>
    </xf>
    <xf numFmtId="0" fontId="4" fillId="3" borderId="5" xfId="0" applyFont="1" applyFill="1" applyBorder="1" applyAlignment="1">
      <alignment horizontal="center" vertical="center"/>
    </xf>
    <xf numFmtId="0" fontId="6" fillId="4" borderId="5" xfId="0" applyFont="1" applyFill="1" applyBorder="1" applyAlignment="1">
      <alignment horizontal="center" vertical="center"/>
    </xf>
    <xf numFmtId="0" fontId="8" fillId="5" borderId="5" xfId="0" applyFont="1" applyFill="1" applyBorder="1" applyAlignment="1">
      <alignment horizontal="center" vertical="center"/>
    </xf>
    <xf numFmtId="0" fontId="10" fillId="6" borderId="5" xfId="0" applyFont="1" applyFill="1" applyBorder="1" applyAlignment="1">
      <alignment horizontal="center" vertical="center"/>
    </xf>
    <xf numFmtId="0" fontId="12" fillId="7" borderId="5" xfId="0" applyFont="1" applyFill="1" applyBorder="1" applyAlignment="1">
      <alignment horizontal="center" vertical="center"/>
    </xf>
    <xf numFmtId="0" fontId="37" fillId="11" borderId="5" xfId="0" applyFont="1" applyFill="1" applyBorder="1" applyAlignment="1">
      <alignment horizontal="center" vertical="center"/>
    </xf>
    <xf numFmtId="0" fontId="16" fillId="3" borderId="5" xfId="0" applyFont="1" applyFill="1" applyBorder="1" applyAlignment="1">
      <alignment horizontal="left" vertical="center"/>
    </xf>
    <xf numFmtId="0" fontId="16" fillId="4" borderId="5" xfId="0" applyFont="1" applyFill="1" applyBorder="1" applyAlignment="1">
      <alignment horizontal="left" vertical="center"/>
    </xf>
    <xf numFmtId="0" fontId="16" fillId="5" borderId="5" xfId="0" applyFont="1" applyFill="1" applyBorder="1" applyAlignment="1">
      <alignment horizontal="left" vertical="center"/>
    </xf>
    <xf numFmtId="0" fontId="16" fillId="6" borderId="5" xfId="0" applyFont="1" applyFill="1" applyBorder="1" applyAlignment="1">
      <alignment horizontal="left" vertical="center"/>
    </xf>
    <xf numFmtId="0" fontId="16" fillId="7" borderId="5" xfId="0" applyFont="1" applyFill="1" applyBorder="1" applyAlignment="1">
      <alignment horizontal="left" vertical="center"/>
    </xf>
    <xf numFmtId="0" fontId="16" fillId="11" borderId="5" xfId="0" applyFont="1" applyFill="1" applyBorder="1" applyAlignment="1">
      <alignment horizontal="left" vertical="center"/>
    </xf>
    <xf numFmtId="0" fontId="14" fillId="14" borderId="1" xfId="0" applyFont="1" applyFill="1" applyBorder="1" applyAlignment="1">
      <alignment horizontal="left" vertical="center"/>
    </xf>
    <xf numFmtId="0" fontId="16" fillId="14" borderId="1" xfId="0" applyFont="1" applyFill="1" applyBorder="1" applyAlignment="1">
      <alignment horizontal="left" vertical="center"/>
    </xf>
    <xf numFmtId="0" fontId="38" fillId="10" borderId="5" xfId="0" applyFont="1" applyFill="1" applyBorder="1" applyAlignment="1">
      <alignment horizontal="left" vertical="center" wrapText="1"/>
    </xf>
    <xf numFmtId="0" fontId="23" fillId="10" borderId="3" xfId="0" applyFont="1" applyFill="1" applyBorder="1" applyAlignment="1">
      <alignment horizontal="center" vertical="center"/>
    </xf>
    <xf numFmtId="0" fontId="23" fillId="8" borderId="3" xfId="0" applyFont="1" applyFill="1" applyBorder="1" applyAlignment="1">
      <alignment horizontal="center" vertical="center"/>
    </xf>
    <xf numFmtId="0" fontId="28" fillId="8" borderId="3" xfId="0" applyFont="1" applyFill="1" applyBorder="1" applyAlignment="1">
      <alignment horizontal="center" vertical="center"/>
    </xf>
    <xf numFmtId="0" fontId="39" fillId="10" borderId="3" xfId="0" applyFont="1" applyFill="1" applyBorder="1" applyAlignment="1">
      <alignment horizontal="left" vertical="center"/>
    </xf>
    <xf numFmtId="0" fontId="39" fillId="8" borderId="3" xfId="0" applyFont="1" applyFill="1" applyBorder="1" applyAlignment="1">
      <alignment horizontal="left" vertical="center"/>
    </xf>
    <xf numFmtId="0" fontId="40" fillId="2" borderId="1" xfId="0" applyFont="1" applyFill="1" applyBorder="1" applyAlignment="1">
      <alignment horizontal="left" vertical="center"/>
    </xf>
    <xf numFmtId="0" fontId="41" fillId="10" borderId="5" xfId="0" applyFont="1" applyFill="1" applyBorder="1" applyAlignment="1">
      <alignment horizontal="left" vertical="center" wrapText="1"/>
    </xf>
    <xf numFmtId="0" fontId="35" fillId="12" borderId="1" xfId="0" applyFont="1" applyFill="1" applyBorder="1" applyAlignment="1">
      <alignment horizontal="left" vertical="center"/>
    </xf>
    <xf numFmtId="0" fontId="16" fillId="12" borderId="1" xfId="0" applyFont="1" applyFill="1" applyBorder="1" applyAlignment="1">
      <alignment horizontal="left" vertical="center"/>
    </xf>
    <xf numFmtId="0" fontId="42" fillId="7" borderId="3" xfId="0" applyFont="1" applyFill="1" applyBorder="1" applyAlignment="1">
      <alignment horizontal="left" vertical="center" wrapText="1"/>
    </xf>
    <xf numFmtId="0" fontId="16" fillId="7" borderId="3" xfId="0" applyFont="1" applyFill="1" applyBorder="1" applyAlignment="1">
      <alignment horizontal="left" vertical="center"/>
    </xf>
    <xf numFmtId="0" fontId="0" fillId="2" borderId="5" xfId="0" applyFill="1" applyBorder="1"/>
    <xf numFmtId="0" fontId="46" fillId="20" borderId="6" xfId="0" applyFont="1" applyFill="1" applyBorder="1" applyAlignment="1">
      <alignment horizontal="center" vertical="center"/>
    </xf>
    <xf numFmtId="0" fontId="0" fillId="19" borderId="5" xfId="0" applyFill="1" applyBorder="1"/>
    <xf numFmtId="0" fontId="50" fillId="10" borderId="7" xfId="0" applyFont="1" applyFill="1" applyBorder="1" applyAlignment="1">
      <alignment horizontal="left" vertical="center" wrapText="1"/>
    </xf>
    <xf numFmtId="0" fontId="51" fillId="24" borderId="7" xfId="0" applyFont="1" applyFill="1" applyBorder="1" applyAlignment="1">
      <alignment horizontal="center" vertical="center"/>
    </xf>
    <xf numFmtId="0" fontId="52" fillId="10" borderId="7" xfId="0" applyFont="1" applyFill="1" applyBorder="1" applyAlignment="1">
      <alignment horizontal="center" vertical="center"/>
    </xf>
    <xf numFmtId="0" fontId="0" fillId="10" borderId="7" xfId="0" applyFill="1" applyBorder="1"/>
    <xf numFmtId="0" fontId="0" fillId="21" borderId="7" xfId="0" applyFill="1" applyBorder="1"/>
    <xf numFmtId="0" fontId="50" fillId="26" borderId="7" xfId="0" applyFont="1" applyFill="1" applyBorder="1" applyAlignment="1">
      <alignment horizontal="left" vertical="center" wrapText="1"/>
    </xf>
    <xf numFmtId="0" fontId="52" fillId="26" borderId="7" xfId="0" applyFont="1" applyFill="1" applyBorder="1" applyAlignment="1">
      <alignment horizontal="center" vertical="center"/>
    </xf>
    <xf numFmtId="0" fontId="0" fillId="26" borderId="7" xfId="0" applyFill="1" applyBorder="1"/>
    <xf numFmtId="0" fontId="53" fillId="17" borderId="7" xfId="0" applyFont="1" applyFill="1" applyBorder="1" applyAlignment="1">
      <alignment horizontal="center" vertical="center"/>
    </xf>
    <xf numFmtId="0" fontId="54" fillId="26" borderId="7" xfId="0" applyFont="1" applyFill="1" applyBorder="1" applyAlignment="1">
      <alignment horizontal="center" vertical="center"/>
    </xf>
    <xf numFmtId="0" fontId="55" fillId="10" borderId="7" xfId="0" applyFont="1" applyFill="1" applyBorder="1" applyAlignment="1">
      <alignment horizontal="center" vertical="center"/>
    </xf>
    <xf numFmtId="0" fontId="55" fillId="26" borderId="7" xfId="0" applyFont="1" applyFill="1" applyBorder="1" applyAlignment="1">
      <alignment horizontal="center" vertical="center"/>
    </xf>
    <xf numFmtId="0" fontId="57" fillId="20" borderId="7" xfId="0" applyFont="1" applyFill="1" applyBorder="1" applyAlignment="1">
      <alignment horizontal="center" vertical="center" wrapText="1"/>
    </xf>
    <xf numFmtId="0" fontId="56" fillId="0" borderId="0" xfId="0" applyFont="1" applyAlignment="1">
      <alignment horizontal="left" vertical="center"/>
    </xf>
    <xf numFmtId="0" fontId="58" fillId="21" borderId="7" xfId="0" applyFont="1" applyFill="1" applyBorder="1" applyAlignment="1">
      <alignment horizontal="center" vertical="center"/>
    </xf>
    <xf numFmtId="0" fontId="59" fillId="20" borderId="7" xfId="0" applyFont="1" applyFill="1" applyBorder="1" applyAlignment="1">
      <alignment horizontal="center" vertical="center"/>
    </xf>
    <xf numFmtId="0" fontId="60" fillId="2" borderId="5" xfId="0" applyFont="1" applyFill="1" applyBorder="1" applyAlignment="1">
      <alignment horizontal="left" vertical="center"/>
    </xf>
    <xf numFmtId="0" fontId="61" fillId="2" borderId="5" xfId="0" applyFont="1" applyFill="1" applyBorder="1" applyAlignment="1">
      <alignment horizontal="right" vertical="center"/>
    </xf>
    <xf numFmtId="0" fontId="44" fillId="22" borderId="6" xfId="0" applyFont="1" applyFill="1" applyBorder="1" applyAlignment="1">
      <alignment horizontal="center" vertical="center"/>
    </xf>
    <xf numFmtId="0" fontId="45" fillId="22" borderId="6" xfId="0" applyFont="1" applyFill="1" applyBorder="1" applyAlignment="1">
      <alignment horizontal="center" vertical="center"/>
    </xf>
    <xf numFmtId="0" fontId="62" fillId="21" borderId="6" xfId="0" applyFont="1" applyFill="1" applyBorder="1" applyAlignment="1">
      <alignment horizontal="center" vertical="center"/>
    </xf>
    <xf numFmtId="0" fontId="0" fillId="18" borderId="5" xfId="0" applyFill="1" applyBorder="1"/>
    <xf numFmtId="0" fontId="48" fillId="18" borderId="6" xfId="0" applyFont="1" applyFill="1" applyBorder="1" applyAlignment="1">
      <alignment horizontal="center" vertical="center"/>
    </xf>
    <xf numFmtId="0" fontId="63" fillId="20" borderId="6" xfId="0" applyFont="1" applyFill="1" applyBorder="1" applyAlignment="1">
      <alignment horizontal="center" vertical="center"/>
    </xf>
    <xf numFmtId="0" fontId="64" fillId="21" borderId="6" xfId="0" applyFont="1" applyFill="1" applyBorder="1" applyAlignment="1">
      <alignment horizontal="center" vertical="center"/>
    </xf>
    <xf numFmtId="0" fontId="46" fillId="20" borderId="0" xfId="0" applyFont="1" applyFill="1" applyAlignment="1">
      <alignment horizontal="center" vertical="center"/>
    </xf>
    <xf numFmtId="0" fontId="0" fillId="20" borderId="0" xfId="0" applyFill="1"/>
    <xf numFmtId="0" fontId="0" fillId="29" borderId="7" xfId="0" applyFill="1" applyBorder="1"/>
    <xf numFmtId="0" fontId="65" fillId="30" borderId="7" xfId="0" applyFont="1" applyFill="1" applyBorder="1" applyAlignment="1">
      <alignment horizontal="center" vertical="center"/>
    </xf>
    <xf numFmtId="0" fontId="66" fillId="10" borderId="7" xfId="0" applyFont="1" applyFill="1" applyBorder="1" applyAlignment="1">
      <alignment horizontal="center" vertical="center"/>
    </xf>
    <xf numFmtId="0" fontId="0" fillId="31" borderId="7" xfId="0" applyFill="1" applyBorder="1"/>
    <xf numFmtId="0" fontId="47" fillId="10" borderId="7" xfId="0" applyFont="1" applyFill="1" applyBorder="1" applyAlignment="1">
      <alignment horizontal="left" vertical="center"/>
    </xf>
    <xf numFmtId="0" fontId="0" fillId="20" borderId="7" xfId="0" applyFill="1" applyBorder="1"/>
    <xf numFmtId="0" fontId="67" fillId="23" borderId="7" xfId="0" applyFont="1" applyFill="1" applyBorder="1" applyAlignment="1">
      <alignment horizontal="center" vertical="center"/>
    </xf>
    <xf numFmtId="0" fontId="49" fillId="26" borderId="7" xfId="0" applyFont="1" applyFill="1" applyBorder="1" applyAlignment="1">
      <alignment horizontal="center" vertical="center"/>
    </xf>
    <xf numFmtId="0" fontId="0" fillId="25" borderId="7" xfId="0" applyFill="1" applyBorder="1"/>
    <xf numFmtId="0" fontId="47" fillId="20" borderId="7" xfId="0" applyFont="1" applyFill="1" applyBorder="1" applyAlignment="1">
      <alignment horizontal="left" vertical="center"/>
    </xf>
    <xf numFmtId="0" fontId="68" fillId="15" borderId="7" xfId="0" applyFont="1" applyFill="1" applyBorder="1" applyAlignment="1">
      <alignment horizontal="center" vertical="center"/>
    </xf>
    <xf numFmtId="0" fontId="69" fillId="10" borderId="7" xfId="0" applyFont="1" applyFill="1" applyBorder="1" applyAlignment="1">
      <alignment horizontal="center" vertical="center"/>
    </xf>
    <xf numFmtId="0" fontId="0" fillId="32" borderId="7" xfId="0" applyFill="1" applyBorder="1"/>
    <xf numFmtId="0" fontId="70" fillId="16" borderId="7" xfId="0" applyFont="1" applyFill="1" applyBorder="1" applyAlignment="1">
      <alignment horizontal="center" vertical="center"/>
    </xf>
    <xf numFmtId="0" fontId="71" fillId="26" borderId="7" xfId="0" applyFont="1" applyFill="1" applyBorder="1" applyAlignment="1">
      <alignment horizontal="center" vertical="center"/>
    </xf>
    <xf numFmtId="0" fontId="0" fillId="33" borderId="7" xfId="0" applyFill="1" applyBorder="1"/>
    <xf numFmtId="0" fontId="47" fillId="21" borderId="7" xfId="0" applyFont="1" applyFill="1" applyBorder="1" applyAlignment="1">
      <alignment horizontal="left" vertical="center"/>
    </xf>
    <xf numFmtId="0" fontId="72" fillId="27" borderId="7" xfId="0" applyFont="1" applyFill="1" applyBorder="1" applyAlignment="1">
      <alignment horizontal="center" vertical="center"/>
    </xf>
    <xf numFmtId="0" fontId="73" fillId="10" borderId="7" xfId="0" applyFont="1" applyFill="1" applyBorder="1" applyAlignment="1">
      <alignment horizontal="center" vertical="center"/>
    </xf>
    <xf numFmtId="0" fontId="0" fillId="34" borderId="7" xfId="0" applyFill="1" applyBorder="1"/>
    <xf numFmtId="0" fontId="74" fillId="24" borderId="7" xfId="0" applyFont="1" applyFill="1" applyBorder="1" applyAlignment="1">
      <alignment horizontal="center" vertical="center"/>
    </xf>
    <xf numFmtId="0" fontId="0" fillId="28" borderId="7" xfId="0" applyFill="1" applyBorder="1"/>
    <xf numFmtId="0" fontId="75" fillId="17" borderId="7" xfId="0" applyFont="1" applyFill="1" applyBorder="1" applyAlignment="1">
      <alignment horizontal="center" vertical="center"/>
    </xf>
    <xf numFmtId="0" fontId="55" fillId="10" borderId="7" xfId="0" applyFont="1" applyFill="1" applyBorder="1" applyAlignment="1">
      <alignment horizontal="left" vertical="center" wrapText="1"/>
    </xf>
    <xf numFmtId="0" fontId="55" fillId="26" borderId="7" xfId="0" applyFont="1" applyFill="1" applyBorder="1" applyAlignment="1">
      <alignment horizontal="left" vertical="center" wrapText="1"/>
    </xf>
    <xf numFmtId="0" fontId="44" fillId="2" borderId="5" xfId="0" applyFont="1" applyFill="1" applyBorder="1" applyAlignment="1">
      <alignment horizontal="left" vertical="center"/>
    </xf>
    <xf numFmtId="0" fontId="45" fillId="31" borderId="7" xfId="0" applyFont="1" applyFill="1" applyBorder="1" applyAlignment="1">
      <alignment horizontal="center" vertical="center"/>
    </xf>
    <xf numFmtId="0" fontId="47" fillId="26" borderId="7" xfId="0" applyFont="1" applyFill="1" applyBorder="1" applyAlignment="1">
      <alignment horizontal="center" vertical="center" wrapText="1"/>
    </xf>
    <xf numFmtId="0" fontId="1" fillId="2" borderId="0" xfId="0" applyFont="1" applyFill="1" applyAlignment="1">
      <alignment horizontal="center" vertical="center"/>
    </xf>
    <xf numFmtId="0" fontId="0" fillId="0" borderId="0" xfId="0"/>
    <xf numFmtId="0" fontId="16" fillId="8" borderId="3" xfId="0" applyFont="1" applyFill="1" applyBorder="1" applyAlignment="1">
      <alignment horizontal="left" vertical="center"/>
    </xf>
    <xf numFmtId="0" fontId="0" fillId="0" borderId="4" xfId="0" applyBorder="1"/>
    <xf numFmtId="0" fontId="16" fillId="10" borderId="3" xfId="0" applyFont="1" applyFill="1" applyBorder="1" applyAlignment="1">
      <alignment horizontal="left" vertical="center"/>
    </xf>
    <xf numFmtId="0" fontId="21" fillId="0" borderId="0" xfId="0" applyFont="1" applyAlignment="1">
      <alignment horizontal="right" vertical="center"/>
    </xf>
    <xf numFmtId="0" fontId="2" fillId="2" borderId="0" xfId="0" applyFont="1" applyFill="1" applyAlignment="1">
      <alignment horizontal="center" vertical="center"/>
    </xf>
    <xf numFmtId="0" fontId="14" fillId="9" borderId="1" xfId="0" applyFont="1" applyFill="1" applyBorder="1" applyAlignment="1">
      <alignment horizontal="left" vertical="center"/>
    </xf>
    <xf numFmtId="0" fontId="0" fillId="0" borderId="2" xfId="0" applyBorder="1"/>
    <xf numFmtId="0" fontId="13" fillId="8" borderId="0" xfId="0" applyFont="1" applyFill="1" applyAlignment="1">
      <alignment horizontal="left" vertical="center"/>
    </xf>
    <xf numFmtId="0" fontId="43" fillId="19" borderId="0" xfId="0" applyFont="1" applyFill="1" applyAlignment="1">
      <alignment horizontal="center" vertical="center"/>
    </xf>
    <xf numFmtId="0" fontId="14" fillId="12" borderId="8" xfId="0" applyFont="1" applyFill="1" applyBorder="1" applyAlignment="1">
      <alignment horizontal="center" vertical="center"/>
    </xf>
    <xf numFmtId="0" fontId="14" fillId="12" borderId="9" xfId="0" applyFont="1" applyFill="1" applyBorder="1" applyAlignment="1">
      <alignment horizontal="center" vertical="center"/>
    </xf>
    <xf numFmtId="0" fontId="22" fillId="10" borderId="9" xfId="0" applyFont="1" applyFill="1" applyBorder="1" applyAlignment="1">
      <alignment horizontal="center" vertical="center"/>
    </xf>
    <xf numFmtId="0" fontId="26" fillId="10" borderId="9" xfId="0" applyFont="1" applyFill="1" applyBorder="1" applyAlignment="1">
      <alignment horizontal="left" vertical="center" wrapText="1"/>
    </xf>
    <xf numFmtId="0" fontId="24" fillId="10" borderId="9" xfId="0" applyFont="1" applyFill="1" applyBorder="1" applyAlignment="1">
      <alignment horizontal="left" vertical="center" wrapText="1"/>
    </xf>
    <xf numFmtId="0" fontId="0" fillId="0" borderId="9" xfId="0" applyBorder="1" applyAlignment="1">
      <alignment horizontal="center" vertical="center"/>
    </xf>
    <xf numFmtId="0" fontId="22" fillId="8" borderId="9" xfId="0" applyFont="1" applyFill="1" applyBorder="1" applyAlignment="1">
      <alignment horizontal="center" vertical="center"/>
    </xf>
    <xf numFmtId="0" fontId="26" fillId="8" borderId="9" xfId="0" applyFont="1" applyFill="1" applyBorder="1" applyAlignment="1">
      <alignment horizontal="left" vertical="center" wrapText="1"/>
    </xf>
    <xf numFmtId="0" fontId="24" fillId="8" borderId="9" xfId="0" applyFont="1" applyFill="1" applyBorder="1" applyAlignment="1">
      <alignment horizontal="left" vertical="center" wrapText="1"/>
    </xf>
    <xf numFmtId="0" fontId="0" fillId="0" borderId="9" xfId="0" applyBorder="1"/>
    <xf numFmtId="0" fontId="23" fillId="10" borderId="9" xfId="0" applyFont="1" applyFill="1" applyBorder="1" applyAlignment="1">
      <alignment horizontal="left" vertical="center" wrapText="1"/>
    </xf>
    <xf numFmtId="0" fontId="0" fillId="0" borderId="9" xfId="0" applyBorder="1" applyAlignment="1">
      <alignment horizontal="center"/>
    </xf>
    <xf numFmtId="0" fontId="23" fillId="8" borderId="9" xfId="0" applyFont="1" applyFill="1" applyBorder="1" applyAlignment="1">
      <alignment horizontal="left" vertical="center" wrapText="1"/>
    </xf>
  </cellXfs>
  <cellStyles count="1">
    <cellStyle name="Normal" xfId="0" builtinId="0"/>
  </cellStyles>
  <dxfs count="6">
    <dxf>
      <font>
        <b/>
        <color rgb="FF808080"/>
        <name val="Arial"/>
      </font>
      <fill>
        <patternFill patternType="solid">
          <fgColor rgb="FFF2F2F2"/>
        </patternFill>
      </fill>
    </dxf>
    <dxf>
      <font>
        <b/>
        <color rgb="FFC00000"/>
        <name val="Arial"/>
      </font>
      <fill>
        <patternFill patternType="solid">
          <fgColor rgb="FFFFE0E0"/>
        </patternFill>
      </fill>
    </dxf>
    <dxf>
      <font>
        <b/>
        <color rgb="FFC55A11"/>
        <name val="Arial"/>
      </font>
      <fill>
        <patternFill patternType="solid">
          <fgColor rgb="FFFFF2CC"/>
        </patternFill>
      </fill>
    </dxf>
    <dxf>
      <font>
        <b/>
        <color rgb="FFC55A11"/>
        <name val="Arial"/>
      </font>
      <fill>
        <patternFill patternType="solid">
          <fgColor rgb="FFFCE4D6"/>
        </patternFill>
      </fill>
    </dxf>
    <dxf>
      <font>
        <b/>
        <color rgb="FF7D6608"/>
        <name val="Arial"/>
      </font>
      <fill>
        <patternFill patternType="solid">
          <fgColor rgb="FFFFF2CC"/>
        </patternFill>
      </fill>
    </dxf>
    <dxf>
      <font>
        <b/>
        <color rgb="FF375623"/>
        <name val="Arial"/>
      </font>
      <fill>
        <patternFill patternType="solid">
          <fgColor rgb="FFE2EFD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
  <sheetViews>
    <sheetView showGridLines="0" topLeftCell="A27" workbookViewId="0">
      <selection activeCell="B13" sqref="B13"/>
    </sheetView>
  </sheetViews>
  <sheetFormatPr defaultRowHeight="14.4" x14ac:dyDescent="0.3"/>
  <cols>
    <col min="1" max="1" width="2" customWidth="1"/>
    <col min="2" max="2" width="101.88671875" bestFit="1" customWidth="1"/>
    <col min="3" max="3" width="32" customWidth="1"/>
    <col min="4" max="4" width="14" customWidth="1"/>
    <col min="5" max="6" width="10" customWidth="1"/>
    <col min="7" max="7" width="28" customWidth="1"/>
    <col min="8" max="8" width="2" customWidth="1"/>
  </cols>
  <sheetData>
    <row r="1" spans="2:7" ht="49.95" customHeight="1" x14ac:dyDescent="0.3">
      <c r="B1" s="146" t="s">
        <v>0</v>
      </c>
      <c r="C1" s="147"/>
      <c r="D1" s="147"/>
      <c r="E1" s="147"/>
      <c r="F1" s="147"/>
      <c r="G1" s="147"/>
    </row>
    <row r="2" spans="2:7" ht="18" customHeight="1" x14ac:dyDescent="0.3">
      <c r="B2" s="152" t="s">
        <v>1</v>
      </c>
      <c r="C2" s="147"/>
      <c r="D2" s="147"/>
      <c r="E2" s="147"/>
      <c r="F2" s="147"/>
      <c r="G2" s="147"/>
    </row>
    <row r="4" spans="2:7" ht="13.95" customHeight="1" x14ac:dyDescent="0.3">
      <c r="B4" s="1" t="s">
        <v>2</v>
      </c>
      <c r="C4" s="2" t="s">
        <v>3</v>
      </c>
      <c r="D4" s="3" t="s">
        <v>4</v>
      </c>
      <c r="E4" s="4" t="s">
        <v>5</v>
      </c>
      <c r="F4" s="5" t="s">
        <v>6</v>
      </c>
      <c r="G4" s="2" t="s">
        <v>7</v>
      </c>
    </row>
    <row r="5" spans="2:7" ht="37.950000000000003" customHeight="1" x14ac:dyDescent="0.3">
      <c r="B5" s="6">
        <f>COUNTA('Kadai Email'!A2:A14)</f>
        <v>13</v>
      </c>
      <c r="C5" s="7">
        <f>COUNTIF('Kadai Email'!G2:G14,"Selesai")</f>
        <v>0</v>
      </c>
      <c r="D5" s="8">
        <f>COUNTIF('Kadai Email'!G2:G14,"New Request")</f>
        <v>0</v>
      </c>
      <c r="E5" s="9">
        <f>COUNTIF('Kadai Email'!G2:G14,"Next Improve")</f>
        <v>0</v>
      </c>
      <c r="F5" s="10">
        <f>COUNTA('Kadai Dev'!A2:A8)</f>
        <v>7</v>
      </c>
      <c r="G5" s="7" t="e">
        <f>COUNTIF('Kadai Dev'!#REF!,"Selesai")</f>
        <v>#REF!</v>
      </c>
    </row>
    <row r="6" spans="2:7" ht="18" customHeight="1" x14ac:dyDescent="0.3">
      <c r="B6" s="11"/>
      <c r="C6" s="12"/>
      <c r="D6" s="13"/>
      <c r="E6" s="14"/>
      <c r="F6" s="15"/>
      <c r="G6" s="12"/>
    </row>
    <row r="7" spans="2:7" ht="13.95" customHeight="1" x14ac:dyDescent="0.3">
      <c r="B7" s="11"/>
      <c r="C7" s="12"/>
      <c r="D7" s="13"/>
      <c r="E7" s="14"/>
      <c r="F7" s="15"/>
      <c r="G7" s="12"/>
    </row>
    <row r="9" spans="2:7" ht="16.05" customHeight="1" x14ac:dyDescent="0.3">
      <c r="B9" s="155" t="s">
        <v>8</v>
      </c>
      <c r="C9" s="147"/>
      <c r="D9" s="147"/>
      <c r="E9" s="147"/>
      <c r="F9" s="147"/>
      <c r="G9" s="147"/>
    </row>
    <row r="10" spans="2:7" x14ac:dyDescent="0.3">
      <c r="B10" s="16" t="s">
        <v>9</v>
      </c>
      <c r="C10" s="153" t="s">
        <v>10</v>
      </c>
      <c r="D10" s="154"/>
    </row>
    <row r="11" spans="2:7" ht="18" customHeight="1" x14ac:dyDescent="0.3">
      <c r="B11" s="17" t="s">
        <v>3</v>
      </c>
      <c r="C11" s="150" t="s">
        <v>11</v>
      </c>
      <c r="D11" s="149"/>
    </row>
    <row r="12" spans="2:7" ht="18" customHeight="1" x14ac:dyDescent="0.3">
      <c r="B12" s="19" t="s">
        <v>4</v>
      </c>
      <c r="C12" s="148" t="s">
        <v>12</v>
      </c>
      <c r="D12" s="149"/>
    </row>
    <row r="13" spans="2:7" ht="18" customHeight="1" x14ac:dyDescent="0.3">
      <c r="B13" s="21" t="s">
        <v>5</v>
      </c>
      <c r="C13" s="150" t="s">
        <v>13</v>
      </c>
      <c r="D13" s="149"/>
    </row>
    <row r="14" spans="2:7" ht="18" customHeight="1" x14ac:dyDescent="0.3">
      <c r="B14" s="22" t="s">
        <v>14</v>
      </c>
      <c r="C14" s="148" t="s">
        <v>15</v>
      </c>
      <c r="D14" s="149"/>
    </row>
    <row r="15" spans="2:7" ht="18" customHeight="1" x14ac:dyDescent="0.3">
      <c r="B15" s="23" t="s">
        <v>16</v>
      </c>
      <c r="C15" s="150" t="s">
        <v>17</v>
      </c>
      <c r="D15" s="149"/>
    </row>
    <row r="16" spans="2:7" ht="18" customHeight="1" x14ac:dyDescent="0.3">
      <c r="B16" s="24" t="s">
        <v>18</v>
      </c>
      <c r="C16" s="148" t="s">
        <v>19</v>
      </c>
      <c r="D16" s="149"/>
    </row>
    <row r="18" spans="1:8" x14ac:dyDescent="0.3">
      <c r="B18" s="151" t="s">
        <v>20</v>
      </c>
      <c r="C18" s="147"/>
      <c r="D18" s="147"/>
      <c r="E18" s="147"/>
      <c r="F18" s="147"/>
      <c r="G18" s="147"/>
    </row>
    <row r="19" spans="1:8" ht="22.05" customHeight="1" x14ac:dyDescent="0.3">
      <c r="A19" s="47"/>
      <c r="B19" s="54" t="s">
        <v>21</v>
      </c>
      <c r="C19" s="55"/>
      <c r="D19" s="55"/>
      <c r="E19" s="55"/>
      <c r="F19" s="55"/>
      <c r="G19" s="55"/>
      <c r="H19" s="47"/>
    </row>
    <row r="20" spans="1:8" ht="13.95" customHeight="1" x14ac:dyDescent="0.3">
      <c r="A20" s="47"/>
      <c r="B20" s="56" t="s">
        <v>22</v>
      </c>
      <c r="C20" s="57" t="s">
        <v>3</v>
      </c>
      <c r="D20" s="58" t="s">
        <v>4</v>
      </c>
      <c r="E20" s="59" t="s">
        <v>5</v>
      </c>
      <c r="F20" s="60" t="s">
        <v>14</v>
      </c>
      <c r="G20" s="61" t="s">
        <v>16</v>
      </c>
      <c r="H20" s="47"/>
    </row>
    <row r="21" spans="1:8" ht="37.950000000000003" customHeight="1" x14ac:dyDescent="0.3">
      <c r="A21" s="47"/>
      <c r="B21" s="62">
        <f>COUNTA('Kadai Email'!A2:A14)</f>
        <v>13</v>
      </c>
      <c r="C21" s="63">
        <f>COUNTIF('Kadai Email'!F2:F14,"Selesai")</f>
        <v>4</v>
      </c>
      <c r="D21" s="64">
        <f>COUNTIF('Kadai Email'!F2:F14,"New Request")</f>
        <v>6</v>
      </c>
      <c r="E21" s="65">
        <f>COUNTIF('Kadai Email'!F2:F14,"Next Improve")</f>
        <v>3</v>
      </c>
      <c r="F21" s="66">
        <f>COUNTIF('Kadai Email'!F2:F14,"Dalam Proses")</f>
        <v>0</v>
      </c>
      <c r="G21" s="67">
        <f>COUNTIF('Kadai Email'!F2:F14,"Belum Mulai")</f>
        <v>0</v>
      </c>
      <c r="H21" s="47"/>
    </row>
    <row r="22" spans="1:8" ht="18" customHeight="1" x14ac:dyDescent="0.3">
      <c r="A22" s="47"/>
      <c r="B22" s="68"/>
      <c r="C22" s="69"/>
      <c r="D22" s="70"/>
      <c r="E22" s="71"/>
      <c r="F22" s="72"/>
      <c r="G22" s="73"/>
      <c r="H22" s="47"/>
    </row>
    <row r="23" spans="1:8" ht="13.95" customHeight="1" x14ac:dyDescent="0.3">
      <c r="A23" s="47"/>
      <c r="B23" s="68"/>
      <c r="C23" s="69"/>
      <c r="D23" s="70"/>
      <c r="E23" s="71"/>
      <c r="F23" s="72"/>
      <c r="G23" s="73"/>
      <c r="H23" s="47"/>
    </row>
    <row r="24" spans="1:8" ht="18" customHeight="1" x14ac:dyDescent="0.3">
      <c r="A24" s="47"/>
      <c r="B24" s="74" t="s">
        <v>23</v>
      </c>
      <c r="C24" s="75"/>
      <c r="D24" s="75"/>
      <c r="E24" s="75"/>
      <c r="F24" s="75"/>
      <c r="G24" s="75"/>
      <c r="H24" s="47"/>
    </row>
    <row r="25" spans="1:8" ht="13.05" customHeight="1" x14ac:dyDescent="0.3">
      <c r="A25" s="47"/>
      <c r="B25" s="76" t="s">
        <v>24</v>
      </c>
      <c r="C25" s="47"/>
      <c r="D25" s="47"/>
      <c r="E25" s="47"/>
      <c r="F25" s="47"/>
      <c r="G25" s="47"/>
      <c r="H25" s="47"/>
    </row>
    <row r="26" spans="1:8" ht="19.95" customHeight="1" x14ac:dyDescent="0.3">
      <c r="A26" s="47"/>
      <c r="B26" s="25" t="s">
        <v>25</v>
      </c>
      <c r="C26" s="25" t="s">
        <v>26</v>
      </c>
      <c r="D26" s="25" t="s">
        <v>9</v>
      </c>
      <c r="E26" s="25" t="s">
        <v>27</v>
      </c>
      <c r="F26" s="25" t="s">
        <v>28</v>
      </c>
      <c r="G26" s="25" t="s">
        <v>10</v>
      </c>
      <c r="H26" s="47"/>
    </row>
    <row r="27" spans="1:8" ht="18" customHeight="1" x14ac:dyDescent="0.3">
      <c r="A27" s="47"/>
      <c r="B27" s="77">
        <v>3</v>
      </c>
      <c r="C27" s="18" t="s">
        <v>29</v>
      </c>
      <c r="D27" s="19" t="s">
        <v>4</v>
      </c>
      <c r="E27" s="46" t="s">
        <v>30</v>
      </c>
      <c r="F27" s="46" t="s">
        <v>31</v>
      </c>
      <c r="G27" s="48" t="s">
        <v>32</v>
      </c>
      <c r="H27" s="47"/>
    </row>
    <row r="28" spans="1:8" ht="18" customHeight="1" x14ac:dyDescent="0.3">
      <c r="A28" s="47"/>
      <c r="B28" s="78">
        <v>5</v>
      </c>
      <c r="C28" s="20" t="s">
        <v>33</v>
      </c>
      <c r="D28" s="19" t="s">
        <v>4</v>
      </c>
      <c r="E28" s="46" t="s">
        <v>34</v>
      </c>
      <c r="F28" s="46" t="s">
        <v>31</v>
      </c>
      <c r="G28" s="49" t="s">
        <v>35</v>
      </c>
      <c r="H28" s="47"/>
    </row>
    <row r="29" spans="1:8" ht="18" customHeight="1" x14ac:dyDescent="0.3">
      <c r="A29" s="47"/>
      <c r="B29" s="77">
        <v>6</v>
      </c>
      <c r="C29" s="18" t="s">
        <v>36</v>
      </c>
      <c r="D29" s="21" t="s">
        <v>5</v>
      </c>
      <c r="E29" s="46" t="s">
        <v>37</v>
      </c>
      <c r="F29" s="46" t="s">
        <v>38</v>
      </c>
      <c r="G29" s="48" t="s">
        <v>39</v>
      </c>
      <c r="H29" s="47"/>
    </row>
    <row r="30" spans="1:8" ht="18" customHeight="1" x14ac:dyDescent="0.3">
      <c r="A30" s="47"/>
      <c r="B30" s="78">
        <v>7</v>
      </c>
      <c r="C30" s="20" t="s">
        <v>40</v>
      </c>
      <c r="D30" s="21" t="s">
        <v>5</v>
      </c>
      <c r="E30" s="46" t="s">
        <v>37</v>
      </c>
      <c r="F30" s="46" t="s">
        <v>38</v>
      </c>
      <c r="G30" s="49" t="s">
        <v>41</v>
      </c>
      <c r="H30" s="47"/>
    </row>
    <row r="31" spans="1:8" ht="18" customHeight="1" x14ac:dyDescent="0.3">
      <c r="A31" s="47"/>
      <c r="B31" s="77">
        <v>8</v>
      </c>
      <c r="C31" s="18" t="s">
        <v>42</v>
      </c>
      <c r="D31" s="21" t="s">
        <v>5</v>
      </c>
      <c r="E31" s="46" t="s">
        <v>43</v>
      </c>
      <c r="F31" s="46" t="s">
        <v>44</v>
      </c>
      <c r="G31" s="48" t="s">
        <v>45</v>
      </c>
      <c r="H31" s="47"/>
    </row>
    <row r="32" spans="1:8" ht="18" customHeight="1" x14ac:dyDescent="0.3">
      <c r="A32" s="47"/>
      <c r="B32" s="78">
        <v>9</v>
      </c>
      <c r="C32" s="20" t="s">
        <v>46</v>
      </c>
      <c r="D32" s="19" t="s">
        <v>4</v>
      </c>
      <c r="E32" s="46" t="s">
        <v>34</v>
      </c>
      <c r="F32" s="46" t="s">
        <v>31</v>
      </c>
      <c r="G32" s="49" t="s">
        <v>47</v>
      </c>
      <c r="H32" s="47"/>
    </row>
    <row r="33" spans="1:8" ht="18" customHeight="1" x14ac:dyDescent="0.3">
      <c r="A33" s="47"/>
      <c r="B33" s="77">
        <v>4</v>
      </c>
      <c r="C33" s="18" t="s">
        <v>48</v>
      </c>
      <c r="D33" s="19" t="s">
        <v>4</v>
      </c>
      <c r="E33" s="79" t="s">
        <v>49</v>
      </c>
      <c r="F33" s="79" t="s">
        <v>49</v>
      </c>
      <c r="G33" s="80" t="s">
        <v>50</v>
      </c>
      <c r="H33" s="47"/>
    </row>
    <row r="34" spans="1:8" ht="18" customHeight="1" x14ac:dyDescent="0.3">
      <c r="A34" s="47"/>
      <c r="B34" s="78">
        <v>10</v>
      </c>
      <c r="C34" s="20" t="s">
        <v>51</v>
      </c>
      <c r="D34" s="19" t="s">
        <v>4</v>
      </c>
      <c r="E34" s="79" t="s">
        <v>49</v>
      </c>
      <c r="F34" s="79" t="s">
        <v>49</v>
      </c>
      <c r="G34" s="81" t="s">
        <v>52</v>
      </c>
      <c r="H34" s="47"/>
    </row>
    <row r="35" spans="1:8" ht="18" customHeight="1" x14ac:dyDescent="0.3">
      <c r="A35" s="47"/>
      <c r="B35" s="77">
        <v>12</v>
      </c>
      <c r="C35" s="18" t="s">
        <v>53</v>
      </c>
      <c r="D35" s="19" t="s">
        <v>4</v>
      </c>
      <c r="E35" s="79" t="s">
        <v>49</v>
      </c>
      <c r="F35" s="79" t="s">
        <v>49</v>
      </c>
      <c r="G35" s="80" t="s">
        <v>54</v>
      </c>
      <c r="H35" s="47"/>
    </row>
    <row r="36" spans="1:8" ht="22.05" customHeight="1" x14ac:dyDescent="0.3">
      <c r="A36" s="47"/>
      <c r="B36" s="50" t="s">
        <v>55</v>
      </c>
      <c r="C36" s="82" t="s">
        <v>56</v>
      </c>
      <c r="D36" s="51"/>
      <c r="E36" s="44" t="s">
        <v>57</v>
      </c>
      <c r="F36" s="52" t="s">
        <v>58</v>
      </c>
      <c r="G36" s="53" t="s">
        <v>59</v>
      </c>
      <c r="H36" s="47"/>
    </row>
    <row r="37" spans="1:8" ht="13.05" customHeight="1" x14ac:dyDescent="0.3">
      <c r="A37" s="47"/>
      <c r="B37" s="83" t="s">
        <v>60</v>
      </c>
      <c r="C37" s="47"/>
      <c r="D37" s="47"/>
      <c r="E37" s="47"/>
      <c r="F37" s="47"/>
      <c r="G37" s="47"/>
      <c r="H37" s="47"/>
    </row>
    <row r="38" spans="1:8" ht="15" customHeight="1" x14ac:dyDescent="0.3">
      <c r="A38" s="47"/>
      <c r="B38" s="47"/>
      <c r="C38" s="47"/>
      <c r="D38" s="47"/>
      <c r="E38" s="47"/>
      <c r="F38" s="47"/>
      <c r="G38" s="47"/>
      <c r="H38" s="47"/>
    </row>
    <row r="39" spans="1:8" ht="22.05" customHeight="1" x14ac:dyDescent="0.3">
      <c r="A39" s="47"/>
      <c r="B39" s="84" t="s">
        <v>61</v>
      </c>
      <c r="C39" s="85"/>
      <c r="D39" s="85"/>
      <c r="E39" s="85"/>
      <c r="F39" s="85"/>
      <c r="G39" s="85"/>
      <c r="H39" s="47"/>
    </row>
    <row r="40" spans="1:8" ht="13.95" customHeight="1" x14ac:dyDescent="0.3">
      <c r="A40" s="47"/>
      <c r="B40" s="60" t="s">
        <v>62</v>
      </c>
      <c r="C40" s="57" t="s">
        <v>3</v>
      </c>
      <c r="D40" s="56" t="s">
        <v>14</v>
      </c>
      <c r="E40" s="61" t="s">
        <v>16</v>
      </c>
      <c r="F40" s="47"/>
      <c r="G40" s="47"/>
      <c r="H40" s="47"/>
    </row>
    <row r="41" spans="1:8" ht="37.950000000000003" customHeight="1" x14ac:dyDescent="0.3">
      <c r="A41" s="47"/>
      <c r="B41" s="66">
        <f>COUNTA('Kadai Dev'!A2:A8)</f>
        <v>7</v>
      </c>
      <c r="C41" s="63" t="e">
        <f>COUNTIF('Kadai Dev'!#REF!,"Selesai")</f>
        <v>#REF!</v>
      </c>
      <c r="D41" s="62" t="e">
        <f>COUNTIF('Kadai Dev'!#REF!,"Dalam Proses")</f>
        <v>#REF!</v>
      </c>
      <c r="E41" s="67" t="e">
        <f>COUNTIF('Kadai Dev'!#REF!,"Belum Mulai")</f>
        <v>#REF!</v>
      </c>
      <c r="F41" s="47"/>
      <c r="G41" s="47"/>
      <c r="H41" s="47"/>
    </row>
    <row r="42" spans="1:8" ht="18" customHeight="1" x14ac:dyDescent="0.3">
      <c r="A42" s="47"/>
      <c r="B42" s="72"/>
      <c r="C42" s="69"/>
      <c r="D42" s="68"/>
      <c r="E42" s="73"/>
      <c r="F42" s="47"/>
      <c r="G42" s="47"/>
      <c r="H42" s="47"/>
    </row>
    <row r="43" spans="1:8" ht="13.95" customHeight="1" x14ac:dyDescent="0.3">
      <c r="A43" s="47"/>
      <c r="B43" s="72"/>
      <c r="C43" s="69"/>
      <c r="D43" s="68"/>
      <c r="E43" s="73"/>
      <c r="F43" s="47"/>
      <c r="G43" s="47"/>
      <c r="H43" s="47"/>
    </row>
    <row r="44" spans="1:8" ht="45" customHeight="1" x14ac:dyDescent="0.3">
      <c r="A44" s="47"/>
      <c r="B44" s="86" t="s">
        <v>63</v>
      </c>
      <c r="C44" s="87"/>
      <c r="D44" s="87"/>
      <c r="E44" s="87"/>
      <c r="F44" s="87"/>
      <c r="G44" s="87"/>
      <c r="H44" s="47"/>
    </row>
    <row r="45" spans="1:8" ht="15" customHeight="1" x14ac:dyDescent="0.3">
      <c r="A45" s="47"/>
      <c r="B45" s="47"/>
      <c r="C45" s="47"/>
      <c r="D45" s="47"/>
      <c r="E45" s="47"/>
      <c r="F45" s="47"/>
      <c r="G45" s="47"/>
      <c r="H45" s="47"/>
    </row>
    <row r="46" spans="1:8" ht="15" customHeight="1" x14ac:dyDescent="0.3">
      <c r="A46" s="47"/>
      <c r="B46" s="47"/>
      <c r="C46" s="47"/>
      <c r="D46" s="47"/>
      <c r="E46" s="47"/>
      <c r="F46" s="47"/>
      <c r="G46" s="47"/>
      <c r="H46" s="47"/>
    </row>
    <row r="47" spans="1:8" ht="15" customHeight="1" x14ac:dyDescent="0.3">
      <c r="A47" s="47"/>
      <c r="B47" s="47"/>
      <c r="C47" s="47"/>
      <c r="D47" s="47"/>
      <c r="E47" s="47"/>
      <c r="F47" s="47"/>
      <c r="G47" s="47"/>
      <c r="H47" s="47"/>
    </row>
    <row r="48" spans="1:8" ht="15" customHeight="1" x14ac:dyDescent="0.3">
      <c r="A48" s="47"/>
      <c r="B48" s="47"/>
      <c r="C48" s="47"/>
      <c r="D48" s="47"/>
      <c r="E48" s="47"/>
      <c r="F48" s="47"/>
      <c r="G48" s="47"/>
      <c r="H48" s="47"/>
    </row>
    <row r="49" spans="1:8" ht="15" customHeight="1" x14ac:dyDescent="0.3">
      <c r="A49" s="47"/>
      <c r="B49" s="47"/>
      <c r="C49" s="47"/>
      <c r="D49" s="47"/>
      <c r="E49" s="47"/>
      <c r="F49" s="47"/>
      <c r="G49" s="47"/>
      <c r="H49" s="47"/>
    </row>
    <row r="50" spans="1:8" ht="15" customHeight="1" x14ac:dyDescent="0.3">
      <c r="A50" s="47"/>
      <c r="B50" s="47"/>
      <c r="C50" s="47"/>
      <c r="D50" s="47"/>
      <c r="E50" s="47"/>
      <c r="F50" s="47"/>
      <c r="G50" s="47"/>
      <c r="H50" s="47"/>
    </row>
  </sheetData>
  <mergeCells count="11">
    <mergeCell ref="B1:G1"/>
    <mergeCell ref="C14:D14"/>
    <mergeCell ref="C13:D13"/>
    <mergeCell ref="B18:G18"/>
    <mergeCell ref="B2:G2"/>
    <mergeCell ref="C12:D12"/>
    <mergeCell ref="C10:D10"/>
    <mergeCell ref="C16:D16"/>
    <mergeCell ref="C15:D15"/>
    <mergeCell ref="C11:D11"/>
    <mergeCell ref="B9:G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4"/>
  <sheetViews>
    <sheetView showGridLines="0" workbookViewId="0">
      <pane ySplit="1" topLeftCell="A9" activePane="bottomLeft" state="frozen"/>
      <selection pane="bottomLeft" activeCell="F2" sqref="F2:F14"/>
    </sheetView>
  </sheetViews>
  <sheetFormatPr defaultRowHeight="14.4" x14ac:dyDescent="0.3"/>
  <cols>
    <col min="1" max="1" width="5" customWidth="1"/>
    <col min="2" max="2" width="38" customWidth="1"/>
    <col min="3" max="3" width="35" customWidth="1"/>
    <col min="4" max="4" width="38" customWidth="1"/>
    <col min="5" max="7" width="14" customWidth="1"/>
    <col min="8" max="9" width="13" customWidth="1"/>
    <col min="10" max="10" width="38" customWidth="1"/>
  </cols>
  <sheetData>
    <row r="1" spans="1:10" ht="22.05" customHeight="1" x14ac:dyDescent="0.3">
      <c r="A1" s="25" t="s">
        <v>25</v>
      </c>
      <c r="B1" s="25" t="s">
        <v>26</v>
      </c>
      <c r="C1" s="25" t="s">
        <v>64</v>
      </c>
      <c r="D1" s="25" t="s">
        <v>65</v>
      </c>
      <c r="E1" s="25" t="s">
        <v>66</v>
      </c>
      <c r="F1" s="25" t="s">
        <v>9</v>
      </c>
      <c r="G1" s="25"/>
      <c r="H1" s="25" t="s">
        <v>67</v>
      </c>
      <c r="I1" s="25" t="s">
        <v>68</v>
      </c>
      <c r="J1" s="25" t="s">
        <v>69</v>
      </c>
    </row>
    <row r="2" spans="1:10" ht="49.95" customHeight="1" x14ac:dyDescent="0.3">
      <c r="A2" s="26">
        <v>1</v>
      </c>
      <c r="B2" s="27" t="s">
        <v>70</v>
      </c>
      <c r="C2" s="28" t="s">
        <v>71</v>
      </c>
      <c r="D2" s="28" t="s">
        <v>72</v>
      </c>
      <c r="E2" s="29" t="s">
        <v>73</v>
      </c>
      <c r="F2" s="17" t="s">
        <v>3</v>
      </c>
      <c r="G2" s="45"/>
      <c r="H2" s="30" t="s">
        <v>74</v>
      </c>
      <c r="I2" s="30" t="s">
        <v>75</v>
      </c>
      <c r="J2" s="31" t="s">
        <v>76</v>
      </c>
    </row>
    <row r="3" spans="1:10" ht="49.95" customHeight="1" x14ac:dyDescent="0.3">
      <c r="A3" s="32">
        <v>2</v>
      </c>
      <c r="B3" s="33" t="s">
        <v>77</v>
      </c>
      <c r="C3" s="34" t="s">
        <v>78</v>
      </c>
      <c r="D3" s="34" t="s">
        <v>79</v>
      </c>
      <c r="E3" s="35" t="s">
        <v>73</v>
      </c>
      <c r="F3" s="17" t="s">
        <v>3</v>
      </c>
      <c r="G3" s="45"/>
      <c r="H3" s="36" t="s">
        <v>74</v>
      </c>
      <c r="I3" s="36" t="s">
        <v>75</v>
      </c>
      <c r="J3" s="37" t="s">
        <v>76</v>
      </c>
    </row>
    <row r="4" spans="1:10" ht="49.95" customHeight="1" x14ac:dyDescent="0.3">
      <c r="A4" s="26">
        <v>3</v>
      </c>
      <c r="B4" s="27" t="s">
        <v>80</v>
      </c>
      <c r="C4" s="28" t="s">
        <v>81</v>
      </c>
      <c r="D4" s="28" t="s">
        <v>82</v>
      </c>
      <c r="E4" s="29" t="s">
        <v>73</v>
      </c>
      <c r="F4" s="19" t="s">
        <v>4</v>
      </c>
      <c r="G4" s="46"/>
      <c r="H4" s="30" t="s">
        <v>74</v>
      </c>
      <c r="I4" s="30" t="s">
        <v>75</v>
      </c>
      <c r="J4" s="31" t="s">
        <v>83</v>
      </c>
    </row>
    <row r="5" spans="1:10" ht="49.95" customHeight="1" x14ac:dyDescent="0.3">
      <c r="A5" s="32">
        <v>4</v>
      </c>
      <c r="B5" s="33" t="s">
        <v>84</v>
      </c>
      <c r="C5" s="34" t="s">
        <v>85</v>
      </c>
      <c r="D5" s="34" t="s">
        <v>86</v>
      </c>
      <c r="E5" s="35" t="s">
        <v>87</v>
      </c>
      <c r="F5" s="19" t="s">
        <v>4</v>
      </c>
      <c r="G5" s="46"/>
      <c r="H5" s="36" t="s">
        <v>74</v>
      </c>
      <c r="I5" s="36" t="s">
        <v>75</v>
      </c>
      <c r="J5" s="37" t="s">
        <v>88</v>
      </c>
    </row>
    <row r="6" spans="1:10" ht="49.95" customHeight="1" x14ac:dyDescent="0.3">
      <c r="A6" s="26">
        <v>5</v>
      </c>
      <c r="B6" s="27" t="s">
        <v>89</v>
      </c>
      <c r="C6" s="28" t="s">
        <v>90</v>
      </c>
      <c r="D6" s="28" t="s">
        <v>91</v>
      </c>
      <c r="E6" s="29" t="s">
        <v>73</v>
      </c>
      <c r="F6" s="19" t="s">
        <v>4</v>
      </c>
      <c r="G6" s="46"/>
      <c r="H6" s="30" t="s">
        <v>74</v>
      </c>
      <c r="I6" s="30" t="s">
        <v>75</v>
      </c>
      <c r="J6" s="31" t="s">
        <v>92</v>
      </c>
    </row>
    <row r="7" spans="1:10" ht="49.95" customHeight="1" x14ac:dyDescent="0.3">
      <c r="A7" s="32">
        <v>6</v>
      </c>
      <c r="B7" s="33" t="s">
        <v>93</v>
      </c>
      <c r="C7" s="34" t="s">
        <v>94</v>
      </c>
      <c r="D7" s="34" t="s">
        <v>95</v>
      </c>
      <c r="E7" s="35" t="s">
        <v>96</v>
      </c>
      <c r="F7" s="21" t="s">
        <v>5</v>
      </c>
      <c r="G7" s="46"/>
      <c r="H7" s="36" t="s">
        <v>74</v>
      </c>
      <c r="I7" s="36" t="s">
        <v>75</v>
      </c>
      <c r="J7" s="37" t="s">
        <v>97</v>
      </c>
    </row>
    <row r="8" spans="1:10" ht="49.95" customHeight="1" x14ac:dyDescent="0.3">
      <c r="A8" s="26">
        <v>7</v>
      </c>
      <c r="B8" s="27" t="s">
        <v>98</v>
      </c>
      <c r="C8" s="28" t="s">
        <v>99</v>
      </c>
      <c r="D8" s="28" t="s">
        <v>100</v>
      </c>
      <c r="E8" s="29" t="s">
        <v>96</v>
      </c>
      <c r="F8" s="21" t="s">
        <v>5</v>
      </c>
      <c r="G8" s="46"/>
      <c r="H8" s="30" t="s">
        <v>74</v>
      </c>
      <c r="I8" s="30" t="s">
        <v>75</v>
      </c>
      <c r="J8" s="31" t="s">
        <v>101</v>
      </c>
    </row>
    <row r="9" spans="1:10" ht="49.95" customHeight="1" x14ac:dyDescent="0.3">
      <c r="A9" s="32">
        <v>8</v>
      </c>
      <c r="B9" s="33" t="s">
        <v>102</v>
      </c>
      <c r="C9" s="34" t="s">
        <v>103</v>
      </c>
      <c r="D9" s="34" t="s">
        <v>104</v>
      </c>
      <c r="E9" s="35" t="s">
        <v>73</v>
      </c>
      <c r="F9" s="21" t="s">
        <v>5</v>
      </c>
      <c r="G9" s="46"/>
      <c r="H9" s="36" t="s">
        <v>74</v>
      </c>
      <c r="I9" s="36" t="s">
        <v>75</v>
      </c>
      <c r="J9" s="37" t="s">
        <v>105</v>
      </c>
    </row>
    <row r="10" spans="1:10" ht="49.95" customHeight="1" x14ac:dyDescent="0.3">
      <c r="A10" s="26">
        <v>9</v>
      </c>
      <c r="B10" s="27" t="s">
        <v>106</v>
      </c>
      <c r="C10" s="28" t="s">
        <v>107</v>
      </c>
      <c r="D10" s="28" t="s">
        <v>108</v>
      </c>
      <c r="E10" s="29" t="s">
        <v>73</v>
      </c>
      <c r="F10" s="19" t="s">
        <v>4</v>
      </c>
      <c r="G10" s="46"/>
      <c r="H10" s="30" t="s">
        <v>74</v>
      </c>
      <c r="I10" s="30" t="s">
        <v>75</v>
      </c>
      <c r="J10" s="31" t="s">
        <v>109</v>
      </c>
    </row>
    <row r="11" spans="1:10" ht="49.95" customHeight="1" x14ac:dyDescent="0.3">
      <c r="A11" s="32">
        <v>10</v>
      </c>
      <c r="B11" s="33" t="s">
        <v>110</v>
      </c>
      <c r="C11" s="34" t="s">
        <v>110</v>
      </c>
      <c r="D11" s="34" t="s">
        <v>111</v>
      </c>
      <c r="E11" s="35" t="s">
        <v>112</v>
      </c>
      <c r="F11" s="19" t="s">
        <v>4</v>
      </c>
      <c r="G11" s="46"/>
      <c r="H11" s="36" t="s">
        <v>74</v>
      </c>
      <c r="I11" s="36" t="s">
        <v>75</v>
      </c>
      <c r="J11" s="37" t="s">
        <v>113</v>
      </c>
    </row>
    <row r="12" spans="1:10" ht="49.95" customHeight="1" x14ac:dyDescent="0.3">
      <c r="A12" s="26">
        <v>11</v>
      </c>
      <c r="B12" s="27" t="s">
        <v>114</v>
      </c>
      <c r="C12" s="28" t="s">
        <v>115</v>
      </c>
      <c r="D12" s="28" t="s">
        <v>116</v>
      </c>
      <c r="E12" s="29" t="s">
        <v>73</v>
      </c>
      <c r="F12" s="17" t="s">
        <v>3</v>
      </c>
      <c r="G12" s="45"/>
      <c r="H12" s="30" t="s">
        <v>74</v>
      </c>
      <c r="I12" s="30" t="s">
        <v>75</v>
      </c>
      <c r="J12" s="31" t="s">
        <v>117</v>
      </c>
    </row>
    <row r="13" spans="1:10" ht="49.95" customHeight="1" x14ac:dyDescent="0.3">
      <c r="A13" s="32">
        <v>12</v>
      </c>
      <c r="B13" s="33" t="s">
        <v>118</v>
      </c>
      <c r="C13" s="34" t="s">
        <v>119</v>
      </c>
      <c r="D13" s="34" t="s">
        <v>120</v>
      </c>
      <c r="E13" s="35" t="s">
        <v>87</v>
      </c>
      <c r="F13" s="19" t="s">
        <v>4</v>
      </c>
      <c r="G13" s="46"/>
      <c r="H13" s="36" t="s">
        <v>74</v>
      </c>
      <c r="I13" s="36" t="s">
        <v>75</v>
      </c>
      <c r="J13" s="37" t="s">
        <v>121</v>
      </c>
    </row>
    <row r="14" spans="1:10" ht="49.95" customHeight="1" x14ac:dyDescent="0.3">
      <c r="A14" s="26">
        <v>13</v>
      </c>
      <c r="B14" s="27" t="s">
        <v>122</v>
      </c>
      <c r="C14" s="28" t="s">
        <v>123</v>
      </c>
      <c r="D14" s="28" t="s">
        <v>124</v>
      </c>
      <c r="E14" s="29" t="s">
        <v>96</v>
      </c>
      <c r="F14" s="17" t="s">
        <v>3</v>
      </c>
      <c r="G14" s="45"/>
      <c r="H14" s="30" t="s">
        <v>74</v>
      </c>
      <c r="I14" s="30" t="s">
        <v>75</v>
      </c>
      <c r="J14" s="31" t="s">
        <v>125</v>
      </c>
    </row>
  </sheetData>
  <autoFilter ref="A1:F14" xr:uid="{00000000-0001-0000-0100-000000000000}"/>
  <conditionalFormatting sqref="F2:F500">
    <cfRule type="cellIs" dxfId="5" priority="7" operator="equal">
      <formula>"Selesai"</formula>
    </cfRule>
    <cfRule type="cellIs" dxfId="4" priority="8" operator="equal">
      <formula>"New Request"</formula>
    </cfRule>
    <cfRule type="cellIs" dxfId="3" priority="9" operator="equal">
      <formula>"Next Improve"</formula>
    </cfRule>
    <cfRule type="cellIs" dxfId="2" priority="10" operator="equal">
      <formula>"Dalam Proses"</formula>
    </cfRule>
    <cfRule type="cellIs" dxfId="1" priority="11" operator="equal">
      <formula>"Belum Mulai"</formula>
    </cfRule>
    <cfRule type="cellIs" dxfId="0" priority="12" operator="equal">
      <formula>"Ditangguhkan"</formula>
    </cfRule>
  </conditionalFormatting>
  <dataValidations count="1">
    <dataValidation type="list" allowBlank="1" sqref="F2:F500" xr:uid="{00000000-0002-0000-0100-000000000000}">
      <formula1>"Selesai,New Request,Next Improve,Dalam Proses,Belum Mulai,Ditangguhkan"</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
  <sheetViews>
    <sheetView showGridLines="0" workbookViewId="0">
      <pane ySplit="1" topLeftCell="A2" activePane="bottomLeft" state="frozen"/>
      <selection pane="bottomLeft" activeCell="D7" sqref="D7"/>
    </sheetView>
  </sheetViews>
  <sheetFormatPr defaultRowHeight="14.4" x14ac:dyDescent="0.3"/>
  <cols>
    <col min="1" max="1" width="3.44140625" bestFit="1" customWidth="1"/>
    <col min="2" max="2" width="34.88671875" bestFit="1" customWidth="1"/>
    <col min="3" max="3" width="22" customWidth="1"/>
    <col min="4" max="4" width="52.6640625" bestFit="1" customWidth="1"/>
    <col min="5" max="5" width="61.77734375" bestFit="1" customWidth="1"/>
  </cols>
  <sheetData>
    <row r="1" spans="1:6" ht="22.05" customHeight="1" thickBot="1" x14ac:dyDescent="0.35">
      <c r="A1" s="38" t="s">
        <v>25</v>
      </c>
      <c r="B1" s="38" t="s">
        <v>126</v>
      </c>
      <c r="C1" s="38" t="s">
        <v>127</v>
      </c>
      <c r="D1" s="38" t="s">
        <v>128</v>
      </c>
      <c r="E1" s="38" t="s">
        <v>129</v>
      </c>
      <c r="F1" s="157" t="s">
        <v>244</v>
      </c>
    </row>
    <row r="2" spans="1:6" ht="143.4" customHeight="1" x14ac:dyDescent="0.3">
      <c r="A2" s="26">
        <v>1</v>
      </c>
      <c r="B2" s="39" t="s">
        <v>130</v>
      </c>
      <c r="C2" s="28" t="s">
        <v>131</v>
      </c>
      <c r="D2" s="28" t="s">
        <v>132</v>
      </c>
      <c r="E2" s="28" t="s">
        <v>133</v>
      </c>
    </row>
    <row r="3" spans="1:6" ht="55.05" customHeight="1" x14ac:dyDescent="0.3">
      <c r="A3" s="32">
        <v>2</v>
      </c>
      <c r="B3" s="40" t="s">
        <v>135</v>
      </c>
      <c r="C3" s="34" t="s">
        <v>136</v>
      </c>
      <c r="D3" s="34" t="s">
        <v>137</v>
      </c>
      <c r="E3" s="34" t="s">
        <v>138</v>
      </c>
    </row>
    <row r="4" spans="1:6" ht="55.05" customHeight="1" x14ac:dyDescent="0.3">
      <c r="A4" s="26">
        <v>3</v>
      </c>
      <c r="B4" s="39" t="s">
        <v>139</v>
      </c>
      <c r="C4" s="28" t="s">
        <v>131</v>
      </c>
      <c r="D4" s="28" t="s">
        <v>140</v>
      </c>
      <c r="E4" s="28" t="s">
        <v>141</v>
      </c>
    </row>
    <row r="5" spans="1:6" ht="55.05" customHeight="1" x14ac:dyDescent="0.3">
      <c r="A5" s="32">
        <v>4</v>
      </c>
      <c r="B5" s="40" t="s">
        <v>142</v>
      </c>
      <c r="C5" s="34" t="s">
        <v>143</v>
      </c>
      <c r="D5" s="34" t="s">
        <v>144</v>
      </c>
      <c r="E5" s="34" t="s">
        <v>145</v>
      </c>
    </row>
    <row r="6" spans="1:6" ht="55.05" customHeight="1" x14ac:dyDescent="0.3">
      <c r="A6" s="26">
        <v>5</v>
      </c>
      <c r="B6" s="39" t="s">
        <v>146</v>
      </c>
      <c r="C6" s="28" t="s">
        <v>147</v>
      </c>
      <c r="D6" s="28" t="s">
        <v>148</v>
      </c>
      <c r="E6" s="28" t="s">
        <v>149</v>
      </c>
    </row>
    <row r="7" spans="1:6" ht="55.05" customHeight="1" x14ac:dyDescent="0.3">
      <c r="A7" s="32">
        <v>6</v>
      </c>
      <c r="B7" s="40" t="s">
        <v>151</v>
      </c>
      <c r="C7" s="34" t="s">
        <v>152</v>
      </c>
      <c r="D7" s="34" t="s">
        <v>153</v>
      </c>
      <c r="E7" s="34" t="s">
        <v>154</v>
      </c>
    </row>
    <row r="8" spans="1:6" ht="55.05" customHeight="1" x14ac:dyDescent="0.3">
      <c r="A8" s="26">
        <v>7</v>
      </c>
      <c r="B8" s="39" t="s">
        <v>155</v>
      </c>
      <c r="C8" s="28" t="s">
        <v>156</v>
      </c>
      <c r="D8" s="28" t="s">
        <v>157</v>
      </c>
      <c r="E8" s="28" t="s">
        <v>158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6"/>
  <sheetViews>
    <sheetView showGridLines="0" workbookViewId="0">
      <pane ySplit="1" topLeftCell="A2" activePane="bottomLeft" state="frozen"/>
      <selection pane="bottomLeft"/>
    </sheetView>
  </sheetViews>
  <sheetFormatPr defaultRowHeight="14.4" x14ac:dyDescent="0.3"/>
  <cols>
    <col min="1" max="1" width="13" customWidth="1"/>
    <col min="2" max="2" width="32" customWidth="1"/>
    <col min="3" max="3" width="25" customWidth="1"/>
    <col min="4" max="4" width="12" customWidth="1"/>
    <col min="5" max="5" width="55" customWidth="1"/>
    <col min="6" max="6" width="14" customWidth="1"/>
  </cols>
  <sheetData>
    <row r="1" spans="1:6" ht="22.05" customHeight="1" x14ac:dyDescent="0.3">
      <c r="A1" s="25" t="s">
        <v>159</v>
      </c>
      <c r="B1" s="25" t="s">
        <v>160</v>
      </c>
      <c r="C1" s="25" t="s">
        <v>161</v>
      </c>
      <c r="D1" s="25" t="s">
        <v>162</v>
      </c>
      <c r="E1" s="25" t="s">
        <v>163</v>
      </c>
      <c r="F1" s="25" t="s">
        <v>66</v>
      </c>
    </row>
    <row r="2" spans="1:6" ht="40.049999999999997" customHeight="1" x14ac:dyDescent="0.3">
      <c r="A2" s="30" t="s">
        <v>134</v>
      </c>
      <c r="B2" s="27" t="s">
        <v>131</v>
      </c>
      <c r="C2" s="28" t="s">
        <v>156</v>
      </c>
      <c r="D2" s="19" t="s">
        <v>164</v>
      </c>
      <c r="E2" s="41" t="s">
        <v>165</v>
      </c>
      <c r="F2" s="30" t="s">
        <v>166</v>
      </c>
    </row>
    <row r="3" spans="1:6" ht="40.049999999999997" customHeight="1" x14ac:dyDescent="0.3">
      <c r="A3" s="36" t="s">
        <v>134</v>
      </c>
      <c r="B3" s="33" t="s">
        <v>136</v>
      </c>
      <c r="C3" s="34" t="s">
        <v>156</v>
      </c>
      <c r="D3" s="17" t="s">
        <v>167</v>
      </c>
      <c r="E3" s="42" t="s">
        <v>168</v>
      </c>
      <c r="F3" s="36" t="s">
        <v>166</v>
      </c>
    </row>
    <row r="4" spans="1:6" ht="40.049999999999997" customHeight="1" x14ac:dyDescent="0.3">
      <c r="A4" s="30" t="s">
        <v>134</v>
      </c>
      <c r="B4" s="27" t="s">
        <v>169</v>
      </c>
      <c r="C4" s="28" t="s">
        <v>156</v>
      </c>
      <c r="D4" s="17" t="s">
        <v>167</v>
      </c>
      <c r="E4" s="41" t="s">
        <v>170</v>
      </c>
      <c r="F4" s="30" t="s">
        <v>166</v>
      </c>
    </row>
    <row r="5" spans="1:6" ht="40.049999999999997" customHeight="1" x14ac:dyDescent="0.3">
      <c r="A5" s="36" t="s">
        <v>134</v>
      </c>
      <c r="B5" s="33" t="s">
        <v>171</v>
      </c>
      <c r="C5" s="34" t="s">
        <v>156</v>
      </c>
      <c r="D5" s="17" t="s">
        <v>167</v>
      </c>
      <c r="E5" s="42" t="s">
        <v>172</v>
      </c>
      <c r="F5" s="36" t="s">
        <v>166</v>
      </c>
    </row>
    <row r="6" spans="1:6" ht="40.049999999999997" customHeight="1" x14ac:dyDescent="0.3">
      <c r="A6" s="30" t="s">
        <v>134</v>
      </c>
      <c r="B6" s="27" t="s">
        <v>173</v>
      </c>
      <c r="C6" s="28" t="s">
        <v>156</v>
      </c>
      <c r="D6" s="19" t="s">
        <v>164</v>
      </c>
      <c r="E6" s="41" t="s">
        <v>174</v>
      </c>
      <c r="F6" s="30" t="s">
        <v>166</v>
      </c>
    </row>
    <row r="7" spans="1:6" ht="40.049999999999997" customHeight="1" x14ac:dyDescent="0.3">
      <c r="A7" s="36" t="s">
        <v>175</v>
      </c>
      <c r="B7" s="33" t="s">
        <v>176</v>
      </c>
      <c r="C7" s="34" t="s">
        <v>177</v>
      </c>
      <c r="D7" s="17" t="s">
        <v>167</v>
      </c>
      <c r="E7" s="42" t="s">
        <v>178</v>
      </c>
      <c r="F7" s="36" t="s">
        <v>166</v>
      </c>
    </row>
    <row r="8" spans="1:6" ht="40.049999999999997" customHeight="1" x14ac:dyDescent="0.3">
      <c r="A8" s="30" t="s">
        <v>175</v>
      </c>
      <c r="B8" s="27" t="s">
        <v>179</v>
      </c>
      <c r="C8" s="28" t="s">
        <v>180</v>
      </c>
      <c r="D8" s="43" t="s">
        <v>181</v>
      </c>
      <c r="E8" s="41" t="s">
        <v>182</v>
      </c>
      <c r="F8" s="30" t="s">
        <v>166</v>
      </c>
    </row>
    <row r="9" spans="1:6" ht="40.049999999999997" customHeight="1" x14ac:dyDescent="0.3">
      <c r="A9" s="36" t="s">
        <v>183</v>
      </c>
      <c r="B9" s="33" t="s">
        <v>184</v>
      </c>
      <c r="C9" s="34" t="s">
        <v>156</v>
      </c>
      <c r="D9" s="43" t="s">
        <v>181</v>
      </c>
      <c r="E9" s="42" t="s">
        <v>185</v>
      </c>
      <c r="F9" s="36" t="s">
        <v>166</v>
      </c>
    </row>
    <row r="10" spans="1:6" ht="40.049999999999997" customHeight="1" x14ac:dyDescent="0.3">
      <c r="A10" s="30" t="s">
        <v>183</v>
      </c>
      <c r="B10" s="27" t="s">
        <v>186</v>
      </c>
      <c r="C10" s="28" t="s">
        <v>156</v>
      </c>
      <c r="D10" s="43" t="s">
        <v>181</v>
      </c>
      <c r="E10" s="41" t="s">
        <v>187</v>
      </c>
      <c r="F10" s="30" t="s">
        <v>166</v>
      </c>
    </row>
    <row r="11" spans="1:6" ht="40.049999999999997" customHeight="1" x14ac:dyDescent="0.3">
      <c r="A11" s="36" t="s">
        <v>183</v>
      </c>
      <c r="B11" s="33" t="s">
        <v>188</v>
      </c>
      <c r="C11" s="34" t="s">
        <v>156</v>
      </c>
      <c r="D11" s="43" t="s">
        <v>181</v>
      </c>
      <c r="E11" s="42" t="s">
        <v>189</v>
      </c>
      <c r="F11" s="36" t="s">
        <v>166</v>
      </c>
    </row>
    <row r="12" spans="1:6" ht="40.049999999999997" customHeight="1" x14ac:dyDescent="0.3">
      <c r="A12" s="30" t="s">
        <v>150</v>
      </c>
      <c r="B12" s="27" t="s">
        <v>190</v>
      </c>
      <c r="C12" s="28" t="s">
        <v>156</v>
      </c>
      <c r="D12" s="43" t="s">
        <v>181</v>
      </c>
      <c r="E12" s="41" t="s">
        <v>191</v>
      </c>
      <c r="F12" s="30" t="s">
        <v>166</v>
      </c>
    </row>
    <row r="13" spans="1:6" ht="40.049999999999997" customHeight="1" x14ac:dyDescent="0.3">
      <c r="A13" s="36" t="s">
        <v>150</v>
      </c>
      <c r="B13" s="33" t="s">
        <v>192</v>
      </c>
      <c r="C13" s="34" t="s">
        <v>156</v>
      </c>
      <c r="D13" s="17" t="s">
        <v>167</v>
      </c>
      <c r="E13" s="42" t="s">
        <v>193</v>
      </c>
      <c r="F13" s="36" t="s">
        <v>166</v>
      </c>
    </row>
    <row r="14" spans="1:6" ht="40.049999999999997" customHeight="1" x14ac:dyDescent="0.3">
      <c r="A14" s="30" t="s">
        <v>150</v>
      </c>
      <c r="B14" s="27" t="s">
        <v>194</v>
      </c>
      <c r="C14" s="28" t="s">
        <v>195</v>
      </c>
      <c r="D14" s="17" t="s">
        <v>167</v>
      </c>
      <c r="E14" s="41" t="s">
        <v>196</v>
      </c>
      <c r="F14" s="30" t="s">
        <v>166</v>
      </c>
    </row>
    <row r="15" spans="1:6" ht="40.049999999999997" customHeight="1" x14ac:dyDescent="0.3">
      <c r="A15" s="36" t="s">
        <v>75</v>
      </c>
      <c r="B15" s="33" t="s">
        <v>152</v>
      </c>
      <c r="C15" s="34" t="s">
        <v>156</v>
      </c>
      <c r="D15" s="19" t="s">
        <v>164</v>
      </c>
      <c r="E15" s="42" t="s">
        <v>197</v>
      </c>
      <c r="F15" s="36" t="s">
        <v>166</v>
      </c>
    </row>
    <row r="16" spans="1:6" ht="40.049999999999997" customHeight="1" x14ac:dyDescent="0.3">
      <c r="A16" s="30" t="s">
        <v>75</v>
      </c>
      <c r="B16" s="27" t="s">
        <v>198</v>
      </c>
      <c r="C16" s="28" t="s">
        <v>156</v>
      </c>
      <c r="D16" s="19" t="s">
        <v>164</v>
      </c>
      <c r="E16" s="41" t="s">
        <v>199</v>
      </c>
      <c r="F16" s="30" t="s">
        <v>166</v>
      </c>
    </row>
  </sheetData>
  <dataValidations count="1">
    <dataValidation type="list" allowBlank="1" sqref="D2:D500" xr:uid="{00000000-0002-0000-0300-000000000000}">
      <formula1>"Baru,Modifikasi,Bugfix,Refactor,Hapus"</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21"/>
  <sheetViews>
    <sheetView showGridLines="0" topLeftCell="A6" workbookViewId="0">
      <selection activeCell="G7" sqref="G7"/>
    </sheetView>
  </sheetViews>
  <sheetFormatPr defaultRowHeight="14.4" x14ac:dyDescent="0.3"/>
  <cols>
    <col min="1" max="1" width="4" customWidth="1"/>
    <col min="2" max="2" width="30" customWidth="1"/>
    <col min="3" max="3" width="13" customWidth="1"/>
    <col min="4" max="4" width="9" customWidth="1"/>
    <col min="5" max="5" width="7" customWidth="1"/>
    <col min="6" max="32" width="4.77734375" customWidth="1"/>
  </cols>
  <sheetData>
    <row r="1" spans="1:32" ht="37.950000000000003" customHeight="1" x14ac:dyDescent="0.3">
      <c r="A1" s="107" t="s">
        <v>200</v>
      </c>
      <c r="B1" s="88"/>
      <c r="C1" s="88"/>
      <c r="D1" s="88"/>
      <c r="E1" s="88"/>
      <c r="F1" s="88"/>
      <c r="G1" s="88"/>
      <c r="H1" s="88"/>
      <c r="I1" s="88"/>
      <c r="J1" s="88"/>
      <c r="K1" s="88"/>
      <c r="L1" s="88"/>
      <c r="M1" s="88"/>
      <c r="N1" s="88"/>
      <c r="O1" s="88"/>
      <c r="P1" s="88"/>
      <c r="Q1" s="88"/>
      <c r="R1" s="88"/>
      <c r="S1" s="88"/>
      <c r="T1" s="88"/>
      <c r="U1" s="88"/>
      <c r="V1" s="88"/>
      <c r="W1" s="88"/>
      <c r="X1" s="108" t="s">
        <v>201</v>
      </c>
      <c r="Y1" s="88"/>
      <c r="Z1" s="88"/>
      <c r="AA1" s="88"/>
      <c r="AB1" s="88"/>
      <c r="AC1" s="88"/>
      <c r="AD1" s="88"/>
      <c r="AE1" s="88"/>
      <c r="AF1" s="88"/>
    </row>
    <row r="2" spans="1:32" ht="15" customHeight="1" x14ac:dyDescent="0.3">
      <c r="A2" s="90"/>
      <c r="B2" s="90"/>
      <c r="C2" s="90"/>
      <c r="D2" s="90"/>
      <c r="E2" s="90"/>
      <c r="F2" s="156" t="s">
        <v>202</v>
      </c>
      <c r="G2" s="147"/>
      <c r="H2" s="147"/>
      <c r="I2" s="147"/>
      <c r="J2" s="147"/>
      <c r="K2" s="147"/>
      <c r="L2" s="147"/>
      <c r="M2" s="156" t="s">
        <v>203</v>
      </c>
      <c r="N2" s="147"/>
      <c r="O2" s="147"/>
      <c r="P2" s="147"/>
      <c r="Q2" s="147"/>
      <c r="R2" s="147"/>
      <c r="S2" s="147"/>
      <c r="T2" s="147"/>
      <c r="U2" s="147"/>
      <c r="V2" s="147"/>
      <c r="W2" s="147"/>
      <c r="X2" s="147"/>
      <c r="Y2" s="147"/>
      <c r="Z2" s="147"/>
      <c r="AA2" s="147"/>
      <c r="AB2" s="147"/>
      <c r="AC2" s="147"/>
      <c r="AD2" s="147"/>
      <c r="AE2" s="147"/>
      <c r="AF2" s="147"/>
    </row>
    <row r="3" spans="1:32" ht="15" customHeight="1" x14ac:dyDescent="0.3">
      <c r="A3" s="109" t="s">
        <v>25</v>
      </c>
      <c r="B3" s="109" t="s">
        <v>204</v>
      </c>
      <c r="C3" s="109" t="s">
        <v>9</v>
      </c>
      <c r="D3" s="109" t="s">
        <v>66</v>
      </c>
      <c r="E3" s="109" t="s">
        <v>205</v>
      </c>
      <c r="F3" s="110">
        <v>25</v>
      </c>
      <c r="G3" s="110">
        <v>26</v>
      </c>
      <c r="H3" s="89">
        <v>27</v>
      </c>
      <c r="I3" s="89">
        <v>28</v>
      </c>
      <c r="J3" s="89">
        <v>29</v>
      </c>
      <c r="K3" s="111">
        <v>30</v>
      </c>
      <c r="L3" s="89">
        <v>31</v>
      </c>
      <c r="M3" s="89">
        <v>1</v>
      </c>
      <c r="N3" s="110">
        <v>2</v>
      </c>
      <c r="O3" s="110">
        <v>3</v>
      </c>
      <c r="P3" s="110">
        <v>4</v>
      </c>
      <c r="Q3" s="110">
        <v>5</v>
      </c>
      <c r="R3" s="111">
        <v>6</v>
      </c>
      <c r="S3" s="111">
        <v>7</v>
      </c>
      <c r="T3" s="110">
        <v>8</v>
      </c>
      <c r="U3" s="110">
        <v>9</v>
      </c>
      <c r="V3" s="110">
        <v>10</v>
      </c>
      <c r="W3" s="110">
        <v>11</v>
      </c>
      <c r="X3" s="110">
        <v>12</v>
      </c>
      <c r="Y3" s="111">
        <v>13</v>
      </c>
      <c r="Z3" s="111">
        <v>14</v>
      </c>
      <c r="AA3" s="110">
        <v>15</v>
      </c>
      <c r="AB3" s="89">
        <v>16</v>
      </c>
      <c r="AC3" s="110">
        <v>17</v>
      </c>
      <c r="AD3" s="110">
        <v>18</v>
      </c>
      <c r="AE3" s="110">
        <v>19</v>
      </c>
      <c r="AF3" s="111">
        <v>20</v>
      </c>
    </row>
    <row r="4" spans="1:32" ht="10.95" customHeight="1" x14ac:dyDescent="0.3">
      <c r="A4" s="112"/>
      <c r="B4" s="112"/>
      <c r="C4" s="112"/>
      <c r="D4" s="112"/>
      <c r="E4" s="112"/>
      <c r="F4" s="113" t="s">
        <v>206</v>
      </c>
      <c r="G4" s="113" t="s">
        <v>207</v>
      </c>
      <c r="H4" s="114" t="s">
        <v>208</v>
      </c>
      <c r="I4" s="114" t="s">
        <v>209</v>
      </c>
      <c r="J4" s="114" t="s">
        <v>210</v>
      </c>
      <c r="K4" s="115" t="s">
        <v>211</v>
      </c>
      <c r="L4" s="114" t="s">
        <v>212</v>
      </c>
      <c r="M4" s="114" t="s">
        <v>206</v>
      </c>
      <c r="N4" s="113" t="s">
        <v>207</v>
      </c>
      <c r="O4" s="113" t="s">
        <v>208</v>
      </c>
      <c r="P4" s="113" t="s">
        <v>209</v>
      </c>
      <c r="Q4" s="113" t="s">
        <v>210</v>
      </c>
      <c r="R4" s="115" t="s">
        <v>211</v>
      </c>
      <c r="S4" s="115" t="s">
        <v>212</v>
      </c>
      <c r="T4" s="113" t="s">
        <v>206</v>
      </c>
      <c r="U4" s="113" t="s">
        <v>207</v>
      </c>
      <c r="V4" s="113" t="s">
        <v>208</v>
      </c>
      <c r="W4" s="113" t="s">
        <v>209</v>
      </c>
      <c r="X4" s="113" t="s">
        <v>210</v>
      </c>
      <c r="Y4" s="115" t="s">
        <v>211</v>
      </c>
      <c r="Z4" s="115" t="s">
        <v>212</v>
      </c>
      <c r="AA4" s="113" t="s">
        <v>206</v>
      </c>
      <c r="AB4" s="114" t="s">
        <v>207</v>
      </c>
      <c r="AC4" s="113" t="s">
        <v>208</v>
      </c>
      <c r="AD4" s="113" t="s">
        <v>209</v>
      </c>
      <c r="AE4" s="113" t="s">
        <v>210</v>
      </c>
      <c r="AF4" s="115" t="s">
        <v>211</v>
      </c>
    </row>
    <row r="5" spans="1:32" x14ac:dyDescent="0.3">
      <c r="A5" s="116" t="s">
        <v>213</v>
      </c>
      <c r="B5" s="117"/>
      <c r="C5" s="117"/>
      <c r="D5" s="117"/>
      <c r="E5" s="117"/>
      <c r="F5" s="118"/>
      <c r="G5" s="118"/>
      <c r="H5" s="103"/>
      <c r="I5" s="103"/>
      <c r="J5" s="103"/>
      <c r="K5" s="95"/>
      <c r="L5" s="103"/>
      <c r="M5" s="103"/>
      <c r="N5" s="118"/>
      <c r="O5" s="118"/>
      <c r="P5" s="118"/>
      <c r="Q5" s="118"/>
      <c r="R5" s="95"/>
      <c r="S5" s="95"/>
      <c r="T5" s="118"/>
      <c r="U5" s="118"/>
      <c r="V5" s="118"/>
      <c r="W5" s="118"/>
      <c r="X5" s="118"/>
      <c r="Y5" s="95"/>
      <c r="Z5" s="95"/>
      <c r="AA5" s="118"/>
      <c r="AB5" s="103"/>
      <c r="AC5" s="118"/>
      <c r="AD5" s="118"/>
      <c r="AE5" s="118"/>
      <c r="AF5" s="95"/>
    </row>
    <row r="6" spans="1:32" ht="3" customHeight="1" x14ac:dyDescent="0.3">
      <c r="A6" s="88"/>
      <c r="B6" s="88"/>
      <c r="C6" s="88"/>
      <c r="D6" s="88"/>
      <c r="E6" s="88"/>
      <c r="F6" s="88"/>
      <c r="G6" s="88"/>
      <c r="H6" s="88"/>
      <c r="I6" s="88"/>
      <c r="J6" s="88"/>
      <c r="K6" s="88"/>
      <c r="L6" s="88"/>
      <c r="M6" s="88"/>
      <c r="N6" s="88"/>
      <c r="O6" s="88"/>
      <c r="P6" s="88"/>
      <c r="Q6" s="88"/>
      <c r="R6" s="88"/>
      <c r="S6" s="88"/>
      <c r="T6" s="88"/>
      <c r="U6" s="88"/>
      <c r="V6" s="88"/>
      <c r="W6" s="88"/>
      <c r="X6" s="88"/>
      <c r="Y6" s="88"/>
      <c r="Z6" s="88"/>
      <c r="AA6" s="88"/>
      <c r="AB6" s="88"/>
      <c r="AC6" s="88"/>
      <c r="AD6" s="88"/>
      <c r="AE6" s="88"/>
      <c r="AF6" s="88"/>
    </row>
    <row r="7" spans="1:32" ht="24" customHeight="1" x14ac:dyDescent="0.3">
      <c r="A7" s="119">
        <v>6</v>
      </c>
      <c r="B7" s="91" t="s">
        <v>214</v>
      </c>
      <c r="C7" s="92" t="s">
        <v>5</v>
      </c>
      <c r="D7" s="93" t="s">
        <v>166</v>
      </c>
      <c r="E7" s="120" t="s">
        <v>215</v>
      </c>
      <c r="F7" s="121" t="s">
        <v>216</v>
      </c>
      <c r="G7" s="122" t="s">
        <v>217</v>
      </c>
      <c r="H7" s="123"/>
      <c r="I7" s="123"/>
      <c r="J7" s="123"/>
      <c r="K7" s="95"/>
      <c r="L7" s="123"/>
      <c r="M7" s="123"/>
      <c r="N7" s="94"/>
      <c r="O7" s="94"/>
      <c r="P7" s="94"/>
      <c r="Q7" s="94"/>
      <c r="R7" s="95"/>
      <c r="S7" s="95"/>
      <c r="T7" s="94"/>
      <c r="U7" s="94"/>
      <c r="V7" s="94"/>
      <c r="W7" s="94"/>
      <c r="X7" s="94"/>
      <c r="Y7" s="95"/>
      <c r="Z7" s="95"/>
      <c r="AA7" s="94"/>
      <c r="AB7" s="123"/>
      <c r="AC7" s="94"/>
      <c r="AD7" s="94"/>
      <c r="AE7" s="94"/>
      <c r="AF7" s="95"/>
    </row>
    <row r="8" spans="1:32" ht="24" customHeight="1" x14ac:dyDescent="0.3">
      <c r="A8" s="124">
        <v>7</v>
      </c>
      <c r="B8" s="96" t="s">
        <v>218</v>
      </c>
      <c r="C8" s="92" t="s">
        <v>5</v>
      </c>
      <c r="D8" s="97" t="s">
        <v>166</v>
      </c>
      <c r="E8" s="125" t="s">
        <v>215</v>
      </c>
      <c r="F8" s="98"/>
      <c r="G8" s="126" t="s">
        <v>216</v>
      </c>
      <c r="H8" s="127" t="s">
        <v>219</v>
      </c>
      <c r="I8" s="123"/>
      <c r="J8" s="123"/>
      <c r="K8" s="95"/>
      <c r="L8" s="123"/>
      <c r="M8" s="123"/>
      <c r="N8" s="98"/>
      <c r="O8" s="98"/>
      <c r="P8" s="98"/>
      <c r="Q8" s="98"/>
      <c r="R8" s="95"/>
      <c r="S8" s="95"/>
      <c r="T8" s="98"/>
      <c r="U8" s="98"/>
      <c r="V8" s="98"/>
      <c r="W8" s="98"/>
      <c r="X8" s="98"/>
      <c r="Y8" s="95"/>
      <c r="Z8" s="95"/>
      <c r="AA8" s="98"/>
      <c r="AB8" s="123"/>
      <c r="AC8" s="98"/>
      <c r="AD8" s="98"/>
      <c r="AE8" s="98"/>
      <c r="AF8" s="95"/>
    </row>
    <row r="9" spans="1:32" ht="24" customHeight="1" x14ac:dyDescent="0.3">
      <c r="A9" s="128">
        <v>3</v>
      </c>
      <c r="B9" s="91" t="s">
        <v>220</v>
      </c>
      <c r="C9" s="99" t="s">
        <v>4</v>
      </c>
      <c r="D9" s="93" t="s">
        <v>166</v>
      </c>
      <c r="E9" s="129" t="s">
        <v>221</v>
      </c>
      <c r="F9" s="94"/>
      <c r="G9" s="94"/>
      <c r="H9" s="123"/>
      <c r="I9" s="123"/>
      <c r="J9" s="123"/>
      <c r="K9" s="95"/>
      <c r="L9" s="123"/>
      <c r="M9" s="123"/>
      <c r="N9" s="130" t="s">
        <v>216</v>
      </c>
      <c r="O9" s="130" t="s">
        <v>216</v>
      </c>
      <c r="P9" s="122" t="s">
        <v>222</v>
      </c>
      <c r="Q9" s="94"/>
      <c r="R9" s="95"/>
      <c r="S9" s="95"/>
      <c r="T9" s="94"/>
      <c r="U9" s="94"/>
      <c r="V9" s="94"/>
      <c r="W9" s="94"/>
      <c r="X9" s="94"/>
      <c r="Y9" s="95"/>
      <c r="Z9" s="95"/>
      <c r="AA9" s="94"/>
      <c r="AB9" s="123"/>
      <c r="AC9" s="94"/>
      <c r="AD9" s="94"/>
      <c r="AE9" s="94"/>
      <c r="AF9" s="95"/>
    </row>
    <row r="10" spans="1:32" ht="24" customHeight="1" x14ac:dyDescent="0.3">
      <c r="A10" s="131">
        <v>5</v>
      </c>
      <c r="B10" s="96" t="s">
        <v>223</v>
      </c>
      <c r="C10" s="99" t="s">
        <v>4</v>
      </c>
      <c r="D10" s="97" t="s">
        <v>166</v>
      </c>
      <c r="E10" s="132" t="s">
        <v>221</v>
      </c>
      <c r="F10" s="98"/>
      <c r="G10" s="98"/>
      <c r="H10" s="123"/>
      <c r="I10" s="123"/>
      <c r="J10" s="123"/>
      <c r="K10" s="95"/>
      <c r="L10" s="123"/>
      <c r="M10" s="123"/>
      <c r="N10" s="98"/>
      <c r="O10" s="98"/>
      <c r="P10" s="133" t="s">
        <v>216</v>
      </c>
      <c r="Q10" s="133" t="s">
        <v>216</v>
      </c>
      <c r="R10" s="134" t="s">
        <v>224</v>
      </c>
      <c r="S10" s="95"/>
      <c r="T10" s="98"/>
      <c r="U10" s="98"/>
      <c r="V10" s="98"/>
      <c r="W10" s="98"/>
      <c r="X10" s="98"/>
      <c r="Y10" s="95"/>
      <c r="Z10" s="95"/>
      <c r="AA10" s="98"/>
      <c r="AB10" s="123"/>
      <c r="AC10" s="98"/>
      <c r="AD10" s="98"/>
      <c r="AE10" s="98"/>
      <c r="AF10" s="95"/>
    </row>
    <row r="11" spans="1:32" ht="24" customHeight="1" x14ac:dyDescent="0.3">
      <c r="A11" s="135">
        <v>9</v>
      </c>
      <c r="B11" s="91" t="s">
        <v>225</v>
      </c>
      <c r="C11" s="99" t="s">
        <v>4</v>
      </c>
      <c r="D11" s="93" t="s">
        <v>166</v>
      </c>
      <c r="E11" s="136" t="s">
        <v>221</v>
      </c>
      <c r="F11" s="94"/>
      <c r="G11" s="94"/>
      <c r="H11" s="123"/>
      <c r="I11" s="123"/>
      <c r="J11" s="123"/>
      <c r="K11" s="95"/>
      <c r="L11" s="123"/>
      <c r="M11" s="123"/>
      <c r="N11" s="94"/>
      <c r="O11" s="94"/>
      <c r="P11" s="94"/>
      <c r="Q11" s="94"/>
      <c r="R11" s="95"/>
      <c r="S11" s="95"/>
      <c r="T11" s="137" t="s">
        <v>216</v>
      </c>
      <c r="U11" s="137" t="s">
        <v>216</v>
      </c>
      <c r="V11" s="122" t="s">
        <v>226</v>
      </c>
      <c r="W11" s="94"/>
      <c r="X11" s="94"/>
      <c r="Y11" s="95"/>
      <c r="Z11" s="95"/>
      <c r="AA11" s="94"/>
      <c r="AB11" s="123"/>
      <c r="AC11" s="94"/>
      <c r="AD11" s="94"/>
      <c r="AE11" s="94"/>
      <c r="AF11" s="95"/>
    </row>
    <row r="12" spans="1:32" ht="24" customHeight="1" x14ac:dyDescent="0.3">
      <c r="A12" s="138">
        <v>8</v>
      </c>
      <c r="B12" s="96" t="s">
        <v>227</v>
      </c>
      <c r="C12" s="92" t="s">
        <v>5</v>
      </c>
      <c r="D12" s="97" t="s">
        <v>166</v>
      </c>
      <c r="E12" s="100" t="s">
        <v>228</v>
      </c>
      <c r="F12" s="98"/>
      <c r="G12" s="98"/>
      <c r="H12" s="123"/>
      <c r="I12" s="123"/>
      <c r="J12" s="123"/>
      <c r="K12" s="95"/>
      <c r="L12" s="123"/>
      <c r="M12" s="123"/>
      <c r="N12" s="98"/>
      <c r="O12" s="98"/>
      <c r="P12" s="98"/>
      <c r="Q12" s="98"/>
      <c r="R12" s="95"/>
      <c r="S12" s="95"/>
      <c r="T12" s="98"/>
      <c r="U12" s="98"/>
      <c r="V12" s="139" t="s">
        <v>216</v>
      </c>
      <c r="W12" s="139" t="s">
        <v>216</v>
      </c>
      <c r="X12" s="139" t="s">
        <v>216</v>
      </c>
      <c r="Y12" s="134" t="s">
        <v>229</v>
      </c>
      <c r="Z12" s="95"/>
      <c r="AA12" s="98"/>
      <c r="AB12" s="123"/>
      <c r="AC12" s="98"/>
      <c r="AD12" s="98"/>
      <c r="AE12" s="98"/>
      <c r="AF12" s="95"/>
    </row>
    <row r="13" spans="1:32" ht="24" customHeight="1" x14ac:dyDescent="0.3">
      <c r="A13" s="140">
        <v>4</v>
      </c>
      <c r="B13" s="141" t="s">
        <v>230</v>
      </c>
      <c r="C13" s="99" t="s">
        <v>4</v>
      </c>
      <c r="D13" s="93" t="s">
        <v>166</v>
      </c>
      <c r="E13" s="101" t="s">
        <v>231</v>
      </c>
      <c r="F13" s="94"/>
      <c r="G13" s="94"/>
      <c r="H13" s="123"/>
      <c r="I13" s="123"/>
      <c r="J13" s="123"/>
      <c r="K13" s="95"/>
      <c r="L13" s="123"/>
      <c r="M13" s="123"/>
      <c r="N13" s="94"/>
      <c r="O13" s="94"/>
      <c r="P13" s="94"/>
      <c r="Q13" s="94"/>
      <c r="R13" s="95"/>
      <c r="S13" s="95"/>
      <c r="T13" s="94"/>
      <c r="U13" s="94"/>
      <c r="V13" s="94"/>
      <c r="W13" s="94"/>
      <c r="X13" s="94"/>
      <c r="Y13" s="95"/>
      <c r="Z13" s="95"/>
      <c r="AA13" s="94"/>
      <c r="AB13" s="123"/>
      <c r="AC13" s="94"/>
      <c r="AD13" s="94"/>
      <c r="AE13" s="94"/>
      <c r="AF13" s="95"/>
    </row>
    <row r="14" spans="1:32" ht="24" customHeight="1" x14ac:dyDescent="0.3">
      <c r="A14" s="140">
        <v>10</v>
      </c>
      <c r="B14" s="142" t="s">
        <v>232</v>
      </c>
      <c r="C14" s="99" t="s">
        <v>4</v>
      </c>
      <c r="D14" s="97" t="s">
        <v>166</v>
      </c>
      <c r="E14" s="102" t="s">
        <v>231</v>
      </c>
      <c r="F14" s="98"/>
      <c r="G14" s="98"/>
      <c r="H14" s="123"/>
      <c r="I14" s="123"/>
      <c r="J14" s="123"/>
      <c r="K14" s="95"/>
      <c r="L14" s="123"/>
      <c r="M14" s="123"/>
      <c r="N14" s="98"/>
      <c r="O14" s="98"/>
      <c r="P14" s="98"/>
      <c r="Q14" s="98"/>
      <c r="R14" s="95"/>
      <c r="S14" s="95"/>
      <c r="T14" s="98"/>
      <c r="U14" s="98"/>
      <c r="V14" s="98"/>
      <c r="W14" s="98"/>
      <c r="X14" s="98"/>
      <c r="Y14" s="95"/>
      <c r="Z14" s="95"/>
      <c r="AA14" s="98"/>
      <c r="AB14" s="123"/>
      <c r="AC14" s="98"/>
      <c r="AD14" s="98"/>
      <c r="AE14" s="98"/>
      <c r="AF14" s="95"/>
    </row>
    <row r="15" spans="1:32" ht="24" customHeight="1" x14ac:dyDescent="0.3">
      <c r="A15" s="140">
        <v>12</v>
      </c>
      <c r="B15" s="141" t="s">
        <v>233</v>
      </c>
      <c r="C15" s="99" t="s">
        <v>4</v>
      </c>
      <c r="D15" s="93" t="s">
        <v>166</v>
      </c>
      <c r="E15" s="101" t="s">
        <v>231</v>
      </c>
      <c r="F15" s="94"/>
      <c r="G15" s="94"/>
      <c r="H15" s="123"/>
      <c r="I15" s="123"/>
      <c r="J15" s="123"/>
      <c r="K15" s="95"/>
      <c r="L15" s="123"/>
      <c r="M15" s="123"/>
      <c r="N15" s="94"/>
      <c r="O15" s="94"/>
      <c r="P15" s="94"/>
      <c r="Q15" s="94"/>
      <c r="R15" s="95"/>
      <c r="S15" s="95"/>
      <c r="T15" s="94"/>
      <c r="U15" s="94"/>
      <c r="V15" s="94"/>
      <c r="W15" s="94"/>
      <c r="X15" s="94"/>
      <c r="Y15" s="95"/>
      <c r="Z15" s="95"/>
      <c r="AA15" s="94"/>
      <c r="AB15" s="123"/>
      <c r="AC15" s="94"/>
      <c r="AD15" s="94"/>
      <c r="AE15" s="94"/>
      <c r="AF15" s="95"/>
    </row>
    <row r="17" spans="1:32" ht="4.05" customHeight="1" x14ac:dyDescent="0.3"/>
    <row r="18" spans="1:32" ht="19.95" customHeight="1" x14ac:dyDescent="0.3">
      <c r="A18" s="143" t="s">
        <v>234</v>
      </c>
      <c r="B18" s="88"/>
      <c r="C18" s="88"/>
      <c r="D18" s="88"/>
      <c r="E18" s="88"/>
      <c r="F18" s="88"/>
      <c r="G18" s="88"/>
      <c r="H18" s="88"/>
      <c r="I18" s="88"/>
      <c r="J18" s="88"/>
      <c r="K18" s="88"/>
      <c r="L18" s="88"/>
      <c r="M18" s="88"/>
      <c r="N18" s="88"/>
      <c r="O18" s="88"/>
      <c r="P18" s="88"/>
      <c r="Q18" s="88"/>
      <c r="R18" s="88"/>
      <c r="S18" s="88"/>
      <c r="T18" s="88"/>
      <c r="U18" s="88"/>
      <c r="V18" s="88"/>
      <c r="W18" s="88"/>
      <c r="X18" s="88"/>
      <c r="Y18" s="88"/>
      <c r="Z18" s="88"/>
      <c r="AA18" s="88"/>
      <c r="AB18" s="88"/>
      <c r="AC18" s="88"/>
      <c r="AD18" s="88"/>
      <c r="AE18" s="88"/>
      <c r="AF18" s="88"/>
    </row>
    <row r="20" spans="1:32" ht="13.95" customHeight="1" x14ac:dyDescent="0.3">
      <c r="A20" s="104" t="s">
        <v>235</v>
      </c>
      <c r="B20" s="144" t="s">
        <v>236</v>
      </c>
      <c r="C20" s="105" t="s">
        <v>237</v>
      </c>
      <c r="D20" s="106" t="s">
        <v>238</v>
      </c>
      <c r="E20" s="99" t="s">
        <v>239</v>
      </c>
    </row>
    <row r="21" spans="1:32" ht="19.95" customHeight="1" x14ac:dyDescent="0.3">
      <c r="B21" s="145" t="s">
        <v>240</v>
      </c>
      <c r="C21" s="145" t="s">
        <v>241</v>
      </c>
      <c r="D21" s="145" t="s">
        <v>242</v>
      </c>
      <c r="E21" s="145" t="s">
        <v>243</v>
      </c>
    </row>
  </sheetData>
  <mergeCells count="2">
    <mergeCell ref="F2:L2"/>
    <mergeCell ref="M2:AF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86D53-9969-4505-BAD1-2D072627499C}">
  <dimension ref="A1:E21"/>
  <sheetViews>
    <sheetView tabSelected="1" workbookViewId="0">
      <selection sqref="A1:E21"/>
    </sheetView>
  </sheetViews>
  <sheetFormatPr defaultRowHeight="14.4" x14ac:dyDescent="0.3"/>
  <sheetData>
    <row r="1" spans="1:5" x14ac:dyDescent="0.3">
      <c r="A1" s="158" t="s">
        <v>25</v>
      </c>
      <c r="B1" s="158" t="s">
        <v>126</v>
      </c>
      <c r="C1" s="158" t="s">
        <v>128</v>
      </c>
      <c r="D1" s="158" t="s">
        <v>129</v>
      </c>
      <c r="E1" s="158" t="s">
        <v>9</v>
      </c>
    </row>
    <row r="2" spans="1:5" ht="409.6" x14ac:dyDescent="0.3">
      <c r="A2" s="159">
        <v>1</v>
      </c>
      <c r="B2" s="160" t="s">
        <v>130</v>
      </c>
      <c r="C2" s="161" t="s">
        <v>132</v>
      </c>
      <c r="D2" s="161" t="s">
        <v>133</v>
      </c>
      <c r="E2" s="162" t="s">
        <v>3</v>
      </c>
    </row>
    <row r="3" spans="1:5" ht="382.8" x14ac:dyDescent="0.3">
      <c r="A3" s="163">
        <v>2</v>
      </c>
      <c r="B3" s="164" t="s">
        <v>135</v>
      </c>
      <c r="C3" s="165" t="s">
        <v>137</v>
      </c>
      <c r="D3" s="165" t="s">
        <v>138</v>
      </c>
      <c r="E3" s="162" t="s">
        <v>3</v>
      </c>
    </row>
    <row r="4" spans="1:5" ht="290.39999999999998" x14ac:dyDescent="0.3">
      <c r="A4" s="159">
        <v>3</v>
      </c>
      <c r="B4" s="160" t="s">
        <v>139</v>
      </c>
      <c r="C4" s="161" t="s">
        <v>140</v>
      </c>
      <c r="D4" s="161" t="s">
        <v>141</v>
      </c>
      <c r="E4" s="162" t="s">
        <v>3</v>
      </c>
    </row>
    <row r="5" spans="1:5" ht="409.2" x14ac:dyDescent="0.3">
      <c r="A5" s="163">
        <v>4</v>
      </c>
      <c r="B5" s="164" t="s">
        <v>142</v>
      </c>
      <c r="C5" s="165" t="s">
        <v>144</v>
      </c>
      <c r="D5" s="165" t="s">
        <v>145</v>
      </c>
      <c r="E5" s="162" t="s">
        <v>3</v>
      </c>
    </row>
    <row r="6" spans="1:5" ht="369.6" x14ac:dyDescent="0.3">
      <c r="A6" s="159">
        <v>5</v>
      </c>
      <c r="B6" s="160" t="s">
        <v>146</v>
      </c>
      <c r="C6" s="161" t="s">
        <v>148</v>
      </c>
      <c r="D6" s="161" t="s">
        <v>149</v>
      </c>
      <c r="E6" s="162" t="s">
        <v>3</v>
      </c>
    </row>
    <row r="7" spans="1:5" ht="264" x14ac:dyDescent="0.3">
      <c r="A7" s="163">
        <v>6</v>
      </c>
      <c r="B7" s="164" t="s">
        <v>151</v>
      </c>
      <c r="C7" s="165" t="s">
        <v>153</v>
      </c>
      <c r="D7" s="165" t="s">
        <v>154</v>
      </c>
      <c r="E7" s="162" t="s">
        <v>3</v>
      </c>
    </row>
    <row r="8" spans="1:5" ht="250.8" x14ac:dyDescent="0.3">
      <c r="A8" s="159">
        <v>7</v>
      </c>
      <c r="B8" s="160" t="s">
        <v>155</v>
      </c>
      <c r="C8" s="161" t="s">
        <v>157</v>
      </c>
      <c r="D8" s="161" t="s">
        <v>158</v>
      </c>
      <c r="E8" s="162" t="s">
        <v>3</v>
      </c>
    </row>
    <row r="9" spans="1:5" ht="132" x14ac:dyDescent="0.3">
      <c r="A9" s="166"/>
      <c r="B9" s="167" t="s">
        <v>70</v>
      </c>
      <c r="C9" s="161" t="s">
        <v>71</v>
      </c>
      <c r="D9" s="161" t="s">
        <v>72</v>
      </c>
      <c r="E9" s="168" t="s">
        <v>3</v>
      </c>
    </row>
    <row r="10" spans="1:5" ht="132" x14ac:dyDescent="0.3">
      <c r="A10" s="166"/>
      <c r="B10" s="169" t="s">
        <v>77</v>
      </c>
      <c r="C10" s="165" t="s">
        <v>78</v>
      </c>
      <c r="D10" s="165" t="s">
        <v>79</v>
      </c>
      <c r="E10" s="168" t="s">
        <v>3</v>
      </c>
    </row>
    <row r="11" spans="1:5" ht="356.4" x14ac:dyDescent="0.3">
      <c r="A11" s="166"/>
      <c r="B11" s="167" t="s">
        <v>80</v>
      </c>
      <c r="C11" s="161" t="s">
        <v>81</v>
      </c>
      <c r="D11" s="161" t="s">
        <v>82</v>
      </c>
      <c r="E11" s="168" t="s">
        <v>4</v>
      </c>
    </row>
    <row r="12" spans="1:5" ht="184.8" x14ac:dyDescent="0.3">
      <c r="A12" s="166"/>
      <c r="B12" s="169" t="s">
        <v>84</v>
      </c>
      <c r="C12" s="165" t="s">
        <v>85</v>
      </c>
      <c r="D12" s="165" t="s">
        <v>86</v>
      </c>
      <c r="E12" s="168" t="s">
        <v>4</v>
      </c>
    </row>
    <row r="13" spans="1:5" ht="145.19999999999999" x14ac:dyDescent="0.3">
      <c r="A13" s="166"/>
      <c r="B13" s="167" t="s">
        <v>89</v>
      </c>
      <c r="C13" s="161" t="s">
        <v>90</v>
      </c>
      <c r="D13" s="161" t="s">
        <v>91</v>
      </c>
      <c r="E13" s="168" t="s">
        <v>4</v>
      </c>
    </row>
    <row r="14" spans="1:5" ht="211.2" x14ac:dyDescent="0.3">
      <c r="A14" s="166"/>
      <c r="B14" s="169" t="s">
        <v>93</v>
      </c>
      <c r="C14" s="165" t="s">
        <v>94</v>
      </c>
      <c r="D14" s="165" t="s">
        <v>95</v>
      </c>
      <c r="E14" s="168" t="s">
        <v>5</v>
      </c>
    </row>
    <row r="15" spans="1:5" ht="409.6" x14ac:dyDescent="0.3">
      <c r="A15" s="166"/>
      <c r="B15" s="167" t="s">
        <v>98</v>
      </c>
      <c r="C15" s="161" t="s">
        <v>99</v>
      </c>
      <c r="D15" s="161" t="s">
        <v>100</v>
      </c>
      <c r="E15" s="168" t="s">
        <v>5</v>
      </c>
    </row>
    <row r="16" spans="1:5" ht="409.6" x14ac:dyDescent="0.3">
      <c r="A16" s="166"/>
      <c r="B16" s="169" t="s">
        <v>102</v>
      </c>
      <c r="C16" s="165" t="s">
        <v>103</v>
      </c>
      <c r="D16" s="165" t="s">
        <v>104</v>
      </c>
      <c r="E16" s="168" t="s">
        <v>5</v>
      </c>
    </row>
    <row r="17" spans="1:5" ht="237.6" x14ac:dyDescent="0.3">
      <c r="A17" s="166"/>
      <c r="B17" s="167" t="s">
        <v>106</v>
      </c>
      <c r="C17" s="161" t="s">
        <v>107</v>
      </c>
      <c r="D17" s="161" t="s">
        <v>108</v>
      </c>
      <c r="E17" s="168" t="s">
        <v>4</v>
      </c>
    </row>
    <row r="18" spans="1:5" ht="237.6" x14ac:dyDescent="0.3">
      <c r="A18" s="166"/>
      <c r="B18" s="169" t="s">
        <v>110</v>
      </c>
      <c r="C18" s="165" t="s">
        <v>110</v>
      </c>
      <c r="D18" s="165" t="s">
        <v>111</v>
      </c>
      <c r="E18" s="168" t="s">
        <v>4</v>
      </c>
    </row>
    <row r="19" spans="1:5" ht="250.8" x14ac:dyDescent="0.3">
      <c r="A19" s="166"/>
      <c r="B19" s="167" t="s">
        <v>114</v>
      </c>
      <c r="C19" s="161" t="s">
        <v>115</v>
      </c>
      <c r="D19" s="161" t="s">
        <v>116</v>
      </c>
      <c r="E19" s="168" t="s">
        <v>3</v>
      </c>
    </row>
    <row r="20" spans="1:5" ht="118.8" x14ac:dyDescent="0.3">
      <c r="A20" s="166"/>
      <c r="B20" s="169" t="s">
        <v>118</v>
      </c>
      <c r="C20" s="165" t="s">
        <v>119</v>
      </c>
      <c r="D20" s="165" t="s">
        <v>120</v>
      </c>
      <c r="E20" s="168" t="s">
        <v>4</v>
      </c>
    </row>
    <row r="21" spans="1:5" ht="224.4" x14ac:dyDescent="0.3">
      <c r="A21" s="166"/>
      <c r="B21" s="167" t="s">
        <v>122</v>
      </c>
      <c r="C21" s="161" t="s">
        <v>123</v>
      </c>
      <c r="D21" s="161" t="s">
        <v>124</v>
      </c>
      <c r="E21" s="168" t="s">
        <v>3</v>
      </c>
    </row>
  </sheetData>
  <dataValidations count="1">
    <dataValidation type="list" allowBlank="1" sqref="E9:E21" xr:uid="{EDBC016A-25DE-483B-9234-E922D50A0318}">
      <formula1>"Selesai,New Request,Next Improve,Dalam Proses,Belum Mulai,Ditangguhkan"</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Kadai Email</vt:lpstr>
      <vt:lpstr>Kadai Dev</vt:lpstr>
      <vt:lpstr>Change Log</vt:lpstr>
      <vt:lpstr>Jadwal Pengerjaan</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Hendra Maulana (HMMI)</cp:lastModifiedBy>
  <dcterms:created xsi:type="dcterms:W3CDTF">2026-05-22T01:28:40Z</dcterms:created>
  <dcterms:modified xsi:type="dcterms:W3CDTF">2026-06-19T09:18:31Z</dcterms:modified>
</cp:coreProperties>
</file>